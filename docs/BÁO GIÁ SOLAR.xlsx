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ấm pin " sheetId="1" r:id="rId5"/>
    <sheet state="visible" name="SOLAX" sheetId="2" r:id="rId6"/>
    <sheet state="visible" name="GOODWE" sheetId="3" r:id="rId7"/>
    <sheet state="visible" name="INVT" sheetId="4" r:id="rId8"/>
    <sheet state="visible" name="SUNGROW HYBRID" sheetId="5" r:id="rId9"/>
    <sheet state="visible" name="LITHIUM VALLEY" sheetId="6" r:id="rId10"/>
    <sheet state="visible" name="INVT HYBRID" sheetId="7" r:id="rId11"/>
    <sheet state="visible" name="Valley ESS" sheetId="8" r:id="rId12"/>
    <sheet state="visible" name="PYLONTECH FB" sheetId="9" r:id="rId13"/>
    <sheet state="visible" name="TU DIEN HYBRID" sheetId="10" r:id="rId14"/>
    <sheet state="visible" name="SUNGROW DU AN" sheetId="11" r:id="rId15"/>
    <sheet state="visible" name="GOODWE ON GRID" sheetId="12" r:id="rId16"/>
    <sheet state="visible" name="SUNGROW GRID" sheetId="13" r:id="rId17"/>
  </sheets>
  <definedNames>
    <definedName hidden="1" localSheetId="2" name="_xlnm._FilterDatabase">GOODWE!$A$1:$F$14</definedName>
    <definedName hidden="1" localSheetId="6" name="_xlnm._FilterDatabase">'INVT HYBRID'!$A$1:$F$5</definedName>
  </definedNames>
  <calcPr/>
</workbook>
</file>

<file path=xl/sharedStrings.xml><?xml version="1.0" encoding="utf-8"?>
<sst xmlns="http://schemas.openxmlformats.org/spreadsheetml/2006/main" count="796" uniqueCount="614">
  <si>
    <t>Brand</t>
  </si>
  <si>
    <t>Mã sản phẩm</t>
  </si>
  <si>
    <t>Ghi chú</t>
  </si>
  <si>
    <t>Tên sản phẩm</t>
  </si>
  <si>
    <t>Giá bán lẻ khách hàng cuối trước VAT (VND)</t>
  </si>
  <si>
    <t>Giá đối tác (DAT thực bán) sau VAT (VND)</t>
  </si>
  <si>
    <t>Giá KM Tháng 10 full VAT</t>
  </si>
  <si>
    <t>1-2 bộ sau VAT (VND)</t>
  </si>
  <si>
    <t>&gt;=3 bộ sau VAT (VND)</t>
  </si>
  <si>
    <t>&lt; 1 Pallet sau VAT</t>
  </si>
  <si>
    <t>&gt;= 1 Pallet sau VAT</t>
  </si>
  <si>
    <t xml:space="preserve">Pin lưu trữ </t>
  </si>
  <si>
    <t>GIẢI PHÁP C&amp;I</t>
  </si>
  <si>
    <t>JA</t>
  </si>
  <si>
    <t>JAM66D45-630/LB</t>
  </si>
  <si>
    <t>630w - 2 mặt kính</t>
  </si>
  <si>
    <t>Giá bán lẻ 
khách hàng cuối trước VAT
(VND)</t>
  </si>
  <si>
    <t>Khách hàng cuối tự lắp trước VAT</t>
  </si>
  <si>
    <t>1-2 bộ sau VAT</t>
  </si>
  <si>
    <t>&gt;=3 bộ sau VAT</t>
  </si>
  <si>
    <t>T-BAT-SYS-LV-D150</t>
  </si>
  <si>
    <t>GW102.4-BAT-AC-G10</t>
  </si>
  <si>
    <t>Phụ kiện</t>
  </si>
  <si>
    <t>Bộ pin lưu trữ điện Lithium-ion T-BAT-SYS-LV-D150</t>
  </si>
  <si>
    <t>Hệ thống pin lưu trữ năng lượng mặt trời, model GW102.4-BAT-AC-G10</t>
  </si>
  <si>
    <t>áp thấp 15kw</t>
  </si>
  <si>
    <t>BAT</t>
  </si>
  <si>
    <t>60,991,000</t>
  </si>
  <si>
    <t>778,780,000</t>
  </si>
  <si>
    <t>GW112.6-BAT-AC-G10</t>
  </si>
  <si>
    <t>Hệ thống pin lưu trữ năng lượng mặt trời, model GW112.6-BAT-AC-G10</t>
  </si>
  <si>
    <t>TSYS-LD160</t>
  </si>
  <si>
    <t>Bộ pin lưu trữ điện Lithium-ion TSYS-LD160 (TB-LD160)</t>
  </si>
  <si>
    <t>836,267,000</t>
  </si>
  <si>
    <t>áp thấp 16kw IP40</t>
  </si>
  <si>
    <t>GW125/261-ESA-LCN-G10</t>
  </si>
  <si>
    <t>Hệ thống pin lưu trữ năng lượng mặt trời, model GW125/261-ESA-LCN-G10</t>
  </si>
  <si>
    <t>ESA</t>
  </si>
  <si>
    <t>1,731,025,000</t>
  </si>
  <si>
    <t>Phụ kiện mua thêm</t>
  </si>
  <si>
    <t>55,876,000</t>
  </si>
  <si>
    <t>38,234,063</t>
  </si>
  <si>
    <t>34007-00042</t>
  </si>
  <si>
    <t>Thiết bị đo đại lượng điện được sản xuất từ tấm pin NLMT DTSU666</t>
  </si>
  <si>
    <t/>
  </si>
  <si>
    <t>1,687,000</t>
  </si>
  <si>
    <t>1,521,000</t>
  </si>
  <si>
    <t>LD16-S</t>
  </si>
  <si>
    <t>TCL SOLAR</t>
  </si>
  <si>
    <t>EZLINK3000</t>
  </si>
  <si>
    <t>LSW-5</t>
  </si>
  <si>
    <t>HSM-ND66-GR620</t>
  </si>
  <si>
    <t>Bộ pin lưu trữ điện Lithium-ion LD16-S</t>
  </si>
  <si>
    <t>620w - 2 mặt kính</t>
  </si>
  <si>
    <t>Thiết bị giám sát inverter 1 pha dòng ES Series EZLINK3000</t>
  </si>
  <si>
    <t>áp thấp 16kw IP65</t>
  </si>
  <si>
    <t>Phụ kiện của máy biến tần, thiết bị giám sát, model: LSW-5</t>
  </si>
  <si>
    <t>64,633,000</t>
  </si>
  <si>
    <t>2,398,000</t>
  </si>
  <si>
    <t>675,000</t>
  </si>
  <si>
    <t>609,000</t>
  </si>
  <si>
    <t>50,257,800</t>
  </si>
  <si>
    <t>SAR-100-5</t>
  </si>
  <si>
    <t>EZlogger3000C</t>
  </si>
  <si>
    <t>Thiết bị giám sát chống đảo chiều cho nhiều biến tần 3 pha SAR-100-5</t>
  </si>
  <si>
    <t>Phụ kiện của biến tần Goodwe, thiết bị ghi và truyền dữ liệu thông minh, hỗ trợ kết nối truyền thông giữa nhiều inverter EzLogger3000C</t>
  </si>
  <si>
    <t>44,883,465</t>
  </si>
  <si>
    <t>13,910,000</t>
  </si>
  <si>
    <t>Accessories</t>
  </si>
  <si>
    <t>12,536,000</t>
  </si>
  <si>
    <t>TB-HR140</t>
  </si>
  <si>
    <t>11,028,000</t>
  </si>
  <si>
    <t>Bộ pin lưu trữ điện Lithium-ion TB-HR140</t>
  </si>
  <si>
    <t>pin lưu áp cao</t>
  </si>
  <si>
    <t>65,433,000</t>
  </si>
  <si>
    <t>SCT024TS</t>
  </si>
  <si>
    <t>GM330</t>
  </si>
  <si>
    <t>Phụ kiện của máy biến tần, thiết bị giám sát SCT024TS</t>
  </si>
  <si>
    <t>TBMS-R15</t>
  </si>
  <si>
    <t>Thiết bị đo đại lượng điện được sản xuất từ tấm pin năng lượng mặt trời GM330</t>
  </si>
  <si>
    <t>339,000</t>
  </si>
  <si>
    <t>Bộ quản lý năng lượng SolaX dòng R15, TBMS-R15</t>
  </si>
  <si>
    <t>306,000</t>
  </si>
  <si>
    <t>Bộ điều khiển áp cao</t>
  </si>
  <si>
    <t>5,275,000</t>
  </si>
  <si>
    <t>38,515,000</t>
  </si>
  <si>
    <t>Biến tần hòa lưới 1 pha</t>
  </si>
  <si>
    <t>GMK110</t>
  </si>
  <si>
    <t>Thiết bị đo đại lượng điện được sản xuất từ tấm pin NLMT, model: GMK110</t>
  </si>
  <si>
    <t>Biến tần 1 pha áp thấp</t>
  </si>
  <si>
    <t>2,877,000</t>
  </si>
  <si>
    <t>HSM-ND66-GR625</t>
  </si>
  <si>
    <t>625w - 2 mặt kính</t>
  </si>
  <si>
    <t>SEC3000C</t>
  </si>
  <si>
    <t>Thiết bị giám sát nhiều biến tần năng lượng mặt trời hybrid SEC3000C</t>
  </si>
  <si>
    <t>XG3KTL-S</t>
  </si>
  <si>
    <t>19,802,000</t>
  </si>
  <si>
    <t>Biến tần năng lượng mặt trời hòa lưới XG3KTL-S</t>
  </si>
  <si>
    <t>X1-HYB-5.0-LV-EU</t>
  </si>
  <si>
    <t>Biến tần năng lượng mặt trời Hybrid model X1-HYB-5.0-LV-EU</t>
  </si>
  <si>
    <t>7,876,000</t>
  </si>
  <si>
    <t>STS200-80-10</t>
  </si>
  <si>
    <t>7,099,000</t>
  </si>
  <si>
    <t>24,242,000</t>
  </si>
  <si>
    <t>Bộ chuyển mạch tĩnh STS200-80-10</t>
  </si>
  <si>
    <t>16,623,506</t>
  </si>
  <si>
    <t>23,416,000</t>
  </si>
  <si>
    <t>LONGi</t>
  </si>
  <si>
    <t>X1-HYB-6.0-LV</t>
  </si>
  <si>
    <t>5,851,474</t>
  </si>
  <si>
    <t>LR8-66HGD-620M</t>
  </si>
  <si>
    <t>GW125K-STS-G10</t>
  </si>
  <si>
    <t>Biến tần năng lượng mặt trời Hybrid model X1-HYB-6.0-LV</t>
  </si>
  <si>
    <t>23,754,000</t>
  </si>
  <si>
    <t>Bộ chuyển mạch tĩnh GW125K-STS-G10</t>
  </si>
  <si>
    <t>XG5KTL-S</t>
  </si>
  <si>
    <t>620w - Himo7 - 2 mặt kính</t>
  </si>
  <si>
    <t>Biến tần năng lượng mặt trời hòa lưới XG5KTL-S</t>
  </si>
  <si>
    <t>52,040,000</t>
  </si>
  <si>
    <t>X1-HYB-6.0-LV-EU</t>
  </si>
  <si>
    <t>9,738,000</t>
  </si>
  <si>
    <t>Biến tần năng lượng mặt trời Hybrid model X1-HYB-6.0-LV-EU</t>
  </si>
  <si>
    <t>8,777,000</t>
  </si>
  <si>
    <t>WiFi/LAN-Kit-20</t>
  </si>
  <si>
    <t>24,966,000</t>
  </si>
  <si>
    <t>7,306,133</t>
  </si>
  <si>
    <t>17,122,211</t>
  </si>
  <si>
    <t>Phụ kiện của máy biến tần thiết bị giám sát biến tần mô-đun WiFi/LAN Kit-20</t>
  </si>
  <si>
    <t>XG10KTL</t>
  </si>
  <si>
    <t>X1-RENO-8.0-LV</t>
  </si>
  <si>
    <t>Biến tần năng lượng mặt trời hòa lưới XG10KTL</t>
  </si>
  <si>
    <t>Biến tần năng lượng mặt trời Hybrid model X1-RENO-8.0-LV</t>
  </si>
  <si>
    <t>1,103,000</t>
  </si>
  <si>
    <t>37,774,000</t>
  </si>
  <si>
    <t>16,230,000</t>
  </si>
  <si>
    <t>25,571,467</t>
  </si>
  <si>
    <t>14,627,000</t>
  </si>
  <si>
    <t>Biến tần áp thấp 1 pha</t>
  </si>
  <si>
    <t>X1-LITE-10.0-LV</t>
  </si>
  <si>
    <t>Biến tần năng lượng mặt trời Hybrid model  X1-LITE-10.0-LV</t>
  </si>
  <si>
    <t>12,390,746</t>
  </si>
  <si>
    <t>41,218,000</t>
  </si>
  <si>
    <t>Biến tần hòa lưới 3 pha</t>
  </si>
  <si>
    <t>LR7-72HVHF-650M</t>
  </si>
  <si>
    <t>28,259,960</t>
  </si>
  <si>
    <t>650w - Himo X10 - 1 mặt kính</t>
  </si>
  <si>
    <t>X1-LITE-12.0-LV</t>
  </si>
  <si>
    <t>GW5000-ES-C10</t>
  </si>
  <si>
    <t>Biến tần năng lượng mặt trời Hybrid model X1-LITE-12.0-LV</t>
  </si>
  <si>
    <t>44,111,000</t>
  </si>
  <si>
    <t>Biến tần năng lượng mặt trời Hybrid GW5000-ES-C10</t>
  </si>
  <si>
    <t>30,254,780</t>
  </si>
  <si>
    <t>ES Uniq</t>
  </si>
  <si>
    <t>21,982,000</t>
  </si>
  <si>
    <t>Biến tần 3 pha áp thấp</t>
  </si>
  <si>
    <t>15,293,625</t>
  </si>
  <si>
    <t>GW6000-ES-C10</t>
  </si>
  <si>
    <t>XG10KTR-S</t>
  </si>
  <si>
    <t>Biến tần năng lượng mặt trời Hybrid GW6000-ES-C10</t>
  </si>
  <si>
    <t>Biến tần năng lượng mặt trời hòa lưới XG10KTR-S</t>
  </si>
  <si>
    <t>22,699,000</t>
  </si>
  <si>
    <t>X3-NEO-10.0-LV</t>
  </si>
  <si>
    <t>14,416,000</t>
  </si>
  <si>
    <t>15,792,330</t>
  </si>
  <si>
    <t>Biến tần năng lượng mặt trời Hybrid model X3-NEO-10.0-LV</t>
  </si>
  <si>
    <t>12,992,000</t>
  </si>
  <si>
    <t>GW8000-ES-C10</t>
  </si>
  <si>
    <t>55,743,000</t>
  </si>
  <si>
    <t>Inverter Hybrid 1 pha GW8000-ES-C10 (8kW)</t>
  </si>
  <si>
    <t>38,067,828</t>
  </si>
  <si>
    <t>X3-NEO-15.0-LV</t>
  </si>
  <si>
    <t>32,495,000</t>
  </si>
  <si>
    <t>11,802,689</t>
  </si>
  <si>
    <t>Biến tần năng lượng mặt trời Hybrid model X3-NEO-15.0-LV</t>
  </si>
  <si>
    <t>65,446,000</t>
  </si>
  <si>
    <t>22,607,968</t>
  </si>
  <si>
    <t>XG15KTR1-S</t>
  </si>
  <si>
    <t>44,563,012</t>
  </si>
  <si>
    <t>GW10K-ES-C10</t>
  </si>
  <si>
    <t>Inverter Hybrid 1 pha GW10K-ES-C10 (10kW)</t>
  </si>
  <si>
    <t>Biến tần năng lượng mặt trời hòa lưới XG15KTR1-S</t>
  </si>
  <si>
    <t>X3-NEO-20K-LV</t>
  </si>
  <si>
    <t>34,885,000</t>
  </si>
  <si>
    <t>Biến tần năng lượng mặt trời Hybrid model X3-NEO-20K-LV</t>
  </si>
  <si>
    <t>21,076,000</t>
  </si>
  <si>
    <t>18,995,000</t>
  </si>
  <si>
    <t>72,700,000</t>
  </si>
  <si>
    <t>24,270,318</t>
  </si>
  <si>
    <t>*Giá đã bao gồm VAT</t>
  </si>
  <si>
    <t>49,316,400</t>
  </si>
  <si>
    <t>GW12K-ES-C10</t>
  </si>
  <si>
    <t>15,922,152</t>
  </si>
  <si>
    <t>Inverter Hybrid 1 pha GW12K-ES-C10  (12kW)</t>
  </si>
  <si>
    <t>XG20KTR</t>
  </si>
  <si>
    <t>Biến tần 3 pha áp cao</t>
  </si>
  <si>
    <t>37,513,000</t>
  </si>
  <si>
    <t>*Khuyến cáo: Đối tác nên check lại số lượng tồn kho tấm pin với Sale trước khi đặt hàng</t>
  </si>
  <si>
    <t>Biến tần năng lượng mặt trời hòa lưới XG20KTR</t>
  </si>
  <si>
    <t>26,098,904</t>
  </si>
  <si>
    <t>23,184,000</t>
  </si>
  <si>
    <t>20,894,000</t>
  </si>
  <si>
    <t>X3-AELIO-49.9K(50K)</t>
  </si>
  <si>
    <t>Biến tần năng lượng mặt trời Hybrid model X3-AELIO-49.9K (50K)</t>
  </si>
  <si>
    <t>XG25KTR</t>
  </si>
  <si>
    <t>135,716,000</t>
  </si>
  <si>
    <t>Biến tần năng lượng mặt trời hòa lưới XG25KTR</t>
  </si>
  <si>
    <t>25,292,000</t>
  </si>
  <si>
    <t>GW10K-ET-L-G10</t>
  </si>
  <si>
    <t>22,794,000</t>
  </si>
  <si>
    <t>Biến tần năng lượng mặt trời Hybrid GW10K-ET-L-G10</t>
  </si>
  <si>
    <t>ET-LV</t>
  </si>
  <si>
    <t>52,088,000</t>
  </si>
  <si>
    <t>XG30KTR</t>
  </si>
  <si>
    <t>36,239,242</t>
  </si>
  <si>
    <t>GW15K-ET-L-G10</t>
  </si>
  <si>
    <t>Biến tần năng lượng mặt trời hòa lưới XG30KTR</t>
  </si>
  <si>
    <t>Biến tần năng lượng mặt trời Hybrid GW15K-ET-L-G10</t>
  </si>
  <si>
    <t>X3-AELIO-60K</t>
  </si>
  <si>
    <t>Biến tần năng lượng mặt trời Hybrid model X3-AELIO-60K</t>
  </si>
  <si>
    <t>33,721,000</t>
  </si>
  <si>
    <t>56,867,000</t>
  </si>
  <si>
    <t>30,391,000</t>
  </si>
  <si>
    <t>145,413,000</t>
  </si>
  <si>
    <t>39,563,943</t>
  </si>
  <si>
    <t>GW20K-ET-L-G10</t>
  </si>
  <si>
    <t>Biến tần hòa lưới 3 pha áp cao</t>
  </si>
  <si>
    <t>Biến tần năng lượng mặt trời Hybrid GW20K-ET-L-G10</t>
  </si>
  <si>
    <t>62,362,000</t>
  </si>
  <si>
    <t>XG40KTR-AFCI</t>
  </si>
  <si>
    <t>43,387,350</t>
  </si>
  <si>
    <t>Biến tần năng lượng mặt trời hòa lưới XG40KTR(AFCI)</t>
  </si>
  <si>
    <t>Pin lưu trữ áp thấp</t>
  </si>
  <si>
    <t>42,362,000</t>
  </si>
  <si>
    <t>38,178,000</t>
  </si>
  <si>
    <t>X3-FTH-99.9K</t>
  </si>
  <si>
    <t>Biến tần năng lượng mặt trời hòa lưới model X3-FTH-99.9K</t>
  </si>
  <si>
    <t>XG50KTR-AFCI</t>
  </si>
  <si>
    <t>94,523,000</t>
  </si>
  <si>
    <t>Biến tần năng lượng mặt trời hòa lưới XG50KTR(AFCI)</t>
  </si>
  <si>
    <t>X3-FTH-125K</t>
  </si>
  <si>
    <t>53,953,000</t>
  </si>
  <si>
    <t>GW16.1-BAT-LV-G10</t>
  </si>
  <si>
    <t>Biến tần năng lượng mặt trời hòa lưới model X3-FTH-125K</t>
  </si>
  <si>
    <t>48,624,000</t>
  </si>
  <si>
    <t>Bộ pin lưu trữ điện Lithium-ion GW16.1-BAT-LV-G10</t>
  </si>
  <si>
    <t>121,183,000</t>
  </si>
  <si>
    <t>BAT Series</t>
  </si>
  <si>
    <t>XG60KTR-AFCI</t>
  </si>
  <si>
    <t>61,776,000</t>
  </si>
  <si>
    <t>X3-FTH-150K-P(plus)</t>
  </si>
  <si>
    <t>Biến tần năng lượng mặt trời hòa lưới XG60KTR(AFCI)</t>
  </si>
  <si>
    <t>Biến tần năng lượng mặt trời hòa lưới model X3-FTH-150K-P (plus)</t>
  </si>
  <si>
    <t>62,385,000</t>
  </si>
  <si>
    <t>45,515,158</t>
  </si>
  <si>
    <t>56,223,000</t>
  </si>
  <si>
    <t>DTSU666-CT</t>
  </si>
  <si>
    <t>XG80KTR-PRO(AFCI)</t>
  </si>
  <si>
    <t>Thiết bị đo đại lượng điện từ tấm pin năng lượng mặt trời DTSU666-CT</t>
  </si>
  <si>
    <t>Biến tần năng lượng mặt trời hòa lưới XG80KTR-PRO(AFCI)</t>
  </si>
  <si>
    <t>metter đi kèm</t>
  </si>
  <si>
    <t>3,841,000</t>
  </si>
  <si>
    <t>72,921,000</t>
  </si>
  <si>
    <t>65,718,000</t>
  </si>
  <si>
    <t>XG110KTR-AFCI</t>
  </si>
  <si>
    <t>GW10KN-ET</t>
  </si>
  <si>
    <t>EMS1000PRO</t>
  </si>
  <si>
    <t>Biến tần năng lượng mặt trời hòa lưới XG110KTR-F(AFCI)</t>
  </si>
  <si>
    <t>Biến tần năng lượng mặt trời Hybrid GW10KN-ET</t>
  </si>
  <si>
    <t>104,745,000</t>
  </si>
  <si>
    <t>ET Plus 16A</t>
  </si>
  <si>
    <t>94,399,000</t>
  </si>
  <si>
    <t>42,674,000</t>
  </si>
  <si>
    <t>Phụ kiện của máy biến tần: Module cảm biến, model: EMS1000 PRO</t>
  </si>
  <si>
    <t>GW20K-ET</t>
  </si>
  <si>
    <t>Biến tần năng lượng mặt trời Hybrid GW20K-ET</t>
  </si>
  <si>
    <t>Bộ quản lý tối đa 120 biến tần</t>
  </si>
  <si>
    <t>ET 15K-30K</t>
  </si>
  <si>
    <t>73,592,000</t>
  </si>
  <si>
    <t>21,601,000</t>
  </si>
  <si>
    <t>GW30K-ET-10</t>
  </si>
  <si>
    <t>Biến tần năng lượng mặt trời Hybrid GW30K-ET-10</t>
  </si>
  <si>
    <t>16,797,240</t>
  </si>
  <si>
    <t>77,415,000</t>
  </si>
  <si>
    <t>GW40K-ET-10</t>
  </si>
  <si>
    <t>Biến tần năng lượng mặt trời Hybrid GW40K-ET-10</t>
  </si>
  <si>
    <t>ET 40k-50k</t>
  </si>
  <si>
    <t>89,839,000</t>
  </si>
  <si>
    <t>GW50K-ET-10</t>
  </si>
  <si>
    <t>Biến tần năng lượng mặt trời Hybrid GW50K-ET-10</t>
  </si>
  <si>
    <t>94,618,000</t>
  </si>
  <si>
    <t>GW80KW-ET-G10</t>
  </si>
  <si>
    <t>Biến tần năng lượng mặt trời Hybrid GW80KW-ET-G10</t>
  </si>
  <si>
    <t>129,407,000</t>
  </si>
  <si>
    <t>GW99.99KW-ET-G10</t>
  </si>
  <si>
    <t>Biến tần năng lượng mặt trời Hybrid GW99.99KW-ET-G10</t>
  </si>
  <si>
    <t>133,994,000</t>
  </si>
  <si>
    <t>Pin lưu trữ áp cao</t>
  </si>
  <si>
    <t>GW110/750-PCU-I-G10</t>
  </si>
  <si>
    <t>Bộ quản lý bộ pin lưu trữ điện GW110/750-PCU-I-G10</t>
  </si>
  <si>
    <t>24,419,000</t>
  </si>
  <si>
    <t>GW5.1-PACK-I-G10</t>
  </si>
  <si>
    <t>Bộ pin lưu trữ điện cho công nghiệp GW5.1-PACK-I-G10, công suất 5.12 kwh</t>
  </si>
  <si>
    <t>25,280,000</t>
  </si>
  <si>
    <t>Giá bán lẻ khách hàng cuối trước VAT ( VND)</t>
  </si>
  <si>
    <t>1-2 bộ sau VAT ( VND)</t>
  </si>
  <si>
    <t>&gt;= 3 bộ sau VAT (VND)</t>
  </si>
  <si>
    <t>MG5RL</t>
  </si>
  <si>
    <t>Biến tần năng lượng mặt trời Hybrid MG5RL</t>
  </si>
  <si>
    <t>5kw 1 pha</t>
  </si>
  <si>
    <t>24,666,000</t>
  </si>
  <si>
    <t>17,236,800</t>
  </si>
  <si>
    <t>MG6RL</t>
  </si>
  <si>
    <t>Biến tần năng lượng mặt trời Hybrid MG6RL</t>
  </si>
  <si>
    <t>6kw 1 pha</t>
  </si>
  <si>
    <t>25,662,000</t>
  </si>
  <si>
    <t>18,005,187</t>
  </si>
  <si>
    <t>MG8RL</t>
  </si>
  <si>
    <t>Biến tần năng lượng mặt trời Hybrid MG8RL</t>
  </si>
  <si>
    <t>8kw 1 pha</t>
  </si>
  <si>
    <t>39,613,000</t>
  </si>
  <si>
    <t>27,567,540</t>
  </si>
  <si>
    <t>MG10RL</t>
  </si>
  <si>
    <t>Biến tần năng lượng mặt trời Hybrid MG10RL</t>
  </si>
  <si>
    <t>10kw 1 pha</t>
  </si>
  <si>
    <t>45,984,000</t>
  </si>
  <si>
    <t>31,982,672</t>
  </si>
  <si>
    <t>Biến tần 1 pha áp phấp</t>
  </si>
  <si>
    <t>Pin áp thấp</t>
  </si>
  <si>
    <t>XD5KTL</t>
  </si>
  <si>
    <t>Biến tần năng lượng mặt trời hybrid XD5KTL</t>
  </si>
  <si>
    <t>LV-BAT-W5.12Ac</t>
  </si>
  <si>
    <t>19,952,000</t>
  </si>
  <si>
    <t>Bộ pin lưu trữ điện Lithium-ion LV-BAT-W5.12Ac</t>
  </si>
  <si>
    <t>5kw</t>
  </si>
  <si>
    <t>22,643,000</t>
  </si>
  <si>
    <t>18,916,000</t>
  </si>
  <si>
    <t>14,296,215</t>
  </si>
  <si>
    <t>16,013,325</t>
  </si>
  <si>
    <t>XD6KTL</t>
  </si>
  <si>
    <t>Biến tần năng lượng mặt trời hybrid XD6KTL</t>
  </si>
  <si>
    <t>LV-BAT-W10.24Ac</t>
  </si>
  <si>
    <t>20,184,000</t>
  </si>
  <si>
    <t>Bộ pin lưu trữ điện Lithium-ion LV-BAT-W10.24Ac</t>
  </si>
  <si>
    <t>10kw</t>
  </si>
  <si>
    <t>44,238,000</t>
  </si>
  <si>
    <t>36,957,000</t>
  </si>
  <si>
    <t>14,462,450</t>
  </si>
  <si>
    <t>XD10KTL</t>
  </si>
  <si>
    <t>31,330,419</t>
  </si>
  <si>
    <t>Biến tần năng lượng mặt trời hybrid XD10KTL</t>
  </si>
  <si>
    <t>W15-5A</t>
  </si>
  <si>
    <t>31,552,000</t>
  </si>
  <si>
    <t>Bộ pin lưu trữ điện Lithium-ion W15-5A</t>
  </si>
  <si>
    <t>14.3kw, chỉ để mở rộng</t>
  </si>
  <si>
    <t>23,272,908</t>
  </si>
  <si>
    <t>50,484,000</t>
  </si>
  <si>
    <t>42,175,000</t>
  </si>
  <si>
    <t>36,445,752</t>
  </si>
  <si>
    <t>W16-5A</t>
  </si>
  <si>
    <t>Bộ pin lưu trữ điện Lithium-ion W16-5A</t>
  </si>
  <si>
    <t>16kw</t>
  </si>
  <si>
    <t>53,043,000</t>
  </si>
  <si>
    <t>44,312,000</t>
  </si>
  <si>
    <t>38,292,734</t>
  </si>
  <si>
    <t>W21-6AD</t>
  </si>
  <si>
    <t>Bộ pin lưu trữ điện Lithium-ion W21-6AD</t>
  </si>
  <si>
    <t>21kw</t>
  </si>
  <si>
    <t>77,306,000</t>
  </si>
  <si>
    <t>XD10KTR</t>
  </si>
  <si>
    <t>64,582,000</t>
  </si>
  <si>
    <t>Biến tần năng lượng mặt trời hybrid XD10KTR</t>
  </si>
  <si>
    <t>52,454,716</t>
  </si>
  <si>
    <t>38,689,000</t>
  </si>
  <si>
    <t>XD12KTR</t>
  </si>
  <si>
    <t>Biến tần năng lượng mặt trời hybrid XD12KTR</t>
  </si>
  <si>
    <t>41,760,000</t>
  </si>
  <si>
    <t>XD30KTR</t>
  </si>
  <si>
    <t>Biến tần năng lượng mặt trời hybrid XD30KTR</t>
  </si>
  <si>
    <t>95,120,000</t>
  </si>
  <si>
    <t>XD40KTR</t>
  </si>
  <si>
    <t>Biến tần năng lượng mặt trời hybrid XD40KTR</t>
  </si>
  <si>
    <t>104,400,000</t>
  </si>
  <si>
    <t>XD50KTR</t>
  </si>
  <si>
    <t>Biến tần năng lượng mặt trời hybrid XD50KTR</t>
  </si>
  <si>
    <t>109,040,000</t>
  </si>
  <si>
    <t>XD60KTR</t>
  </si>
  <si>
    <t>Biến tần năng lượng mặt trời hybrid XD60KTR</t>
  </si>
  <si>
    <t>113,680,000</t>
  </si>
  <si>
    <t>Giá khách hàng cuối tự lắp trước VAT (VND)</t>
  </si>
  <si>
    <t>FLEX16-HBOX</t>
  </si>
  <si>
    <t>Bộ quản lí pin lưu trữ BMS mô-đun, model FLEX16-HBOX</t>
  </si>
  <si>
    <t>39,066,000</t>
  </si>
  <si>
    <t>32,636,000</t>
  </si>
  <si>
    <t>FLEX16-RACK</t>
  </si>
  <si>
    <t>Bộ đế lắp đặt battery xếp chồng, model FLEX16</t>
  </si>
  <si>
    <t>8,816,000</t>
  </si>
  <si>
    <t>6,760,000</t>
  </si>
  <si>
    <t>FLEX16-UNIT</t>
  </si>
  <si>
    <t>Bộ pin lưu trữ điện Lithium-ion, model FLEX16-UNIT</t>
  </si>
  <si>
    <t>59,149,000</t>
  </si>
  <si>
    <t>49,413,000</t>
  </si>
  <si>
    <t>FLEX-RACKS2</t>
  </si>
  <si>
    <t>Bộ phụ kiện cho bộ pin lưu trữ lithium-ion dạng xếp chồng, model: FLEX-RACKS2</t>
  </si>
  <si>
    <t>11,913,000</t>
  </si>
  <si>
    <t>9,133,000</t>
  </si>
  <si>
    <t>FLEX-RACKS3</t>
  </si>
  <si>
    <t>23,253,000</t>
  </si>
  <si>
    <t>17,827,000</t>
  </si>
  <si>
    <t>LV-BST-H5.12Aa-Hbox</t>
  </si>
  <si>
    <t>Bộ quản lí pin lưu trữ BMS mô-đun LV-BST-H5.12Aa-Hbox</t>
  </si>
  <si>
    <t>20,792,000</t>
  </si>
  <si>
    <t>17,370,000</t>
  </si>
  <si>
    <t>LV-BST-H5.12Aa-Unit</t>
  </si>
  <si>
    <t>Bộ pin lưu trữ điện Lithium-ion LV-BST-H5.12Aa-Unit</t>
  </si>
  <si>
    <t>25,620,000</t>
  </si>
  <si>
    <t>21,403,000</t>
  </si>
  <si>
    <t>RACK-BATTERY</t>
  </si>
  <si>
    <t>Bộ rack (giá đỡ) lắp đặt battery</t>
  </si>
  <si>
    <t>14,295,000</t>
  </si>
  <si>
    <t>10,188,000</t>
  </si>
  <si>
    <t>Giá bán lẻ khách hàng cuối (VND)</t>
  </si>
  <si>
    <t>Khách hàng cuối tự lắp trước VAT (VND)</t>
  </si>
  <si>
    <t>&gt;= 3 bộ sau VAT</t>
  </si>
  <si>
    <t>TD-HB1P0508K2S-ATS</t>
  </si>
  <si>
    <t>FB-L-16-0110</t>
  </si>
  <si>
    <t>Bộ pin lưu trữ điện (lithium-ion), model: FB-L-16-0110</t>
  </si>
  <si>
    <t>Tủ điện Hybrid 5KW-8KW, 1 Pha, 2 String tích hợp ATS TD-HB1P0508K2S-ATS</t>
  </si>
  <si>
    <t>bao gồm cable kit/fire proof</t>
  </si>
  <si>
    <t>Dùng cho inverter Hybrid 5KW đến 8KW 1 Pha, 2 String</t>
  </si>
  <si>
    <t>69,965,000</t>
  </si>
  <si>
    <t>5,502,000</t>
  </si>
  <si>
    <t>60,170,000</t>
  </si>
  <si>
    <t>TD-HB1P10K2S-ATS</t>
  </si>
  <si>
    <t>43,000,200</t>
  </si>
  <si>
    <t>Tủ điện Hybrid 10KW, 1 Pha, 2 String tích hợp ATS TD-HB1P10K2S-ATS</t>
  </si>
  <si>
    <t>Dùng cho inverter Hybrid 10KW 1 Pha, 2 String</t>
  </si>
  <si>
    <t>6,132,000</t>
  </si>
  <si>
    <t>TD-HB1P12K3S-ATS</t>
  </si>
  <si>
    <t>Tủ điện Hybrid 12KW, 1 Pha, 3 String tích hợp ATS TD-HB1P12K3S-ATS</t>
  </si>
  <si>
    <t>Dùng cho inverter Hybrid 12KW 1 Pha, 3 String</t>
  </si>
  <si>
    <t>7,901,000</t>
  </si>
  <si>
    <t>TD-HB3P1015K3S-ATS</t>
  </si>
  <si>
    <t>Tủ điện Hybrid 10KW-15KW, 3 Pha, 3 String tích hợp ATS TD-HB3P1015K3S-ATS</t>
  </si>
  <si>
    <t>Dùng cho inverter Hybrid 10KW đến 15KW 3 Pha, 3 String</t>
  </si>
  <si>
    <t>8,537,000</t>
  </si>
  <si>
    <t>TD-HB3P20K4S-ATS</t>
  </si>
  <si>
    <t>Tủ điện Hybrid 20KW, 3 Pha, 4 String tích hợp ATS TD-HB3P20K4S-ATS</t>
  </si>
  <si>
    <t>Dùng cho inverter Hybrid 20KW 3 Pha, 4 String</t>
  </si>
  <si>
    <t>10,096,000</t>
  </si>
  <si>
    <t>Mô tả sản phẩm</t>
  </si>
  <si>
    <t>M1 sau VAT</t>
  </si>
  <si>
    <t>M2 sau VAT</t>
  </si>
  <si>
    <t>SG125CX-P2</t>
  </si>
  <si>
    <t>Biến tần năng lượng mặt trời hòa lưới SG125CX-P2</t>
  </si>
  <si>
    <t>Inverter hòa lưới SG125CX-P2</t>
  </si>
  <si>
    <t>148,128,000</t>
  </si>
  <si>
    <t>SG150CX</t>
  </si>
  <si>
    <t>Biến tần năng lượng mặt trời hòa lưới SG150CX</t>
  </si>
  <si>
    <t>Inverter hòa lưới SG150CX</t>
  </si>
  <si>
    <t>Sản phẩm mới</t>
  </si>
  <si>
    <t>179,384,000</t>
  </si>
  <si>
    <t>GW100K-GT</t>
  </si>
  <si>
    <t>Máy biến đổi điện tĩnh 3 pha GW100K-GT (100kw)</t>
  </si>
  <si>
    <t>102,642,000</t>
  </si>
  <si>
    <t>94,636,000</t>
  </si>
  <si>
    <t>GW100K-GT-AFCI</t>
  </si>
  <si>
    <t>Máy biến đổi điện tĩnh 3 pha GW100K-GT (AFCI) (100kw)</t>
  </si>
  <si>
    <t>108,388,000</t>
  </si>
  <si>
    <t>99,934,000</t>
  </si>
  <si>
    <t>GW10K-MS-30</t>
  </si>
  <si>
    <t>Máy biến đổi điện tĩnh 1 pha GW10K-MS-30 (10kw)</t>
  </si>
  <si>
    <t>18,572,000</t>
  </si>
  <si>
    <t>17,124,000</t>
  </si>
  <si>
    <t>GW10K-SDT-30</t>
  </si>
  <si>
    <t>Máy biến đổi điện tĩnh 3 pha GW10K-SDT-30 (10kw)</t>
  </si>
  <si>
    <t>21,153,000</t>
  </si>
  <si>
    <t>19,504,000</t>
  </si>
  <si>
    <t>COM100</t>
  </si>
  <si>
    <t>Thiết bị giám sát Inverter của Sungrow COM100E</t>
  </si>
  <si>
    <t>GW10K-SDT-30-AFCI</t>
  </si>
  <si>
    <t>Máy biến đổi điện tĩnh 3 pha GW10K-SDT-30 (AFCI) (10kw)</t>
  </si>
  <si>
    <t>31,654,000</t>
  </si>
  <si>
    <t>24,452,000</t>
  </si>
  <si>
    <t>23,194,000</t>
  </si>
  <si>
    <t>21,385,000</t>
  </si>
  <si>
    <t>GW110K-GT-AFCI</t>
  </si>
  <si>
    <t>DTSD1352-C/1(6)A</t>
  </si>
  <si>
    <t>Máy biến đổi điện tĩnh 3 pha GW100K-GT (AFCI) (110kw)</t>
  </si>
  <si>
    <t>112,594,000</t>
  </si>
  <si>
    <t>Thiết bị đo đại lượng điện được sản xuất từ tấm pin năng lượng mặt trời (không kèm thiết bị ghi) DTSD1352-C/1(6)A</t>
  </si>
  <si>
    <t>103,812,000</t>
  </si>
  <si>
    <t>3,618,000</t>
  </si>
  <si>
    <t>2,795,000</t>
  </si>
  <si>
    <t>GW125K-GT</t>
  </si>
  <si>
    <t>Máy biến đổi điện tĩnh 3 pha GW100K-GT (125kw)</t>
  </si>
  <si>
    <t>DTSU666</t>
  </si>
  <si>
    <t>112,301,000</t>
  </si>
  <si>
    <t>Thiết bị đo đại lượng điện từ tấm pin năng lượng mặt trời DTSU666</t>
  </si>
  <si>
    <t>103,542,000</t>
  </si>
  <si>
    <t>5,427,000</t>
  </si>
  <si>
    <t>4,193,000</t>
  </si>
  <si>
    <t>GW125K-GT-AFCI</t>
  </si>
  <si>
    <t>Máy biến đổi điện tĩnh 3 pha GW100K-GT (AFCI) (125kw)</t>
  </si>
  <si>
    <t>RT1</t>
  </si>
  <si>
    <t>118,301,000</t>
  </si>
  <si>
    <t>Thiết bị quan trắc bức xạ nhiệt năng lượng mặt trời RT1</t>
  </si>
  <si>
    <t>109,074,000</t>
  </si>
  <si>
    <t>33,334,000</t>
  </si>
  <si>
    <t>23,000,000</t>
  </si>
  <si>
    <t>GW12K-SDT-30-AFCI</t>
  </si>
  <si>
    <t>Máy biến đổi điện tĩnh 3 pha GW12K-SDT-30 (AFCI) (12kw)</t>
  </si>
  <si>
    <t>S100</t>
  </si>
  <si>
    <t>23,943,000</t>
  </si>
  <si>
    <t>Thiết bị đo đại lượng điện được sản xuất từ tấm pin năng lượng mặt trời (không kèm thiết bị ghi) S100</t>
  </si>
  <si>
    <t>22,076,000</t>
  </si>
  <si>
    <t>4,522,000</t>
  </si>
  <si>
    <t>3,494,000</t>
  </si>
  <si>
    <t>GW15K-SDT-30</t>
  </si>
  <si>
    <t>Máy biến đổi điện tĩnh 3 pha GW15K-SDT-30 (15kw)</t>
  </si>
  <si>
    <t>WINET-S</t>
  </si>
  <si>
    <t>22,403,000</t>
  </si>
  <si>
    <t>Thiết bị giám sát sungrow Winet-S</t>
  </si>
  <si>
    <t>20,656,000</t>
  </si>
  <si>
    <t>3,166,000</t>
  </si>
  <si>
    <t>2,446,000</t>
  </si>
  <si>
    <t>GW15K-SDT-30-AFCI</t>
  </si>
  <si>
    <t>Máy biến đổi điện tĩnh 3 pha GW15K-SDT-30 (AFCI) (15kw)</t>
  </si>
  <si>
    <t>24,443,000</t>
  </si>
  <si>
    <t>22,537,000</t>
  </si>
  <si>
    <t>Biến tần hòa lưới</t>
  </si>
  <si>
    <t>GW20K-SDT-30</t>
  </si>
  <si>
    <t>Máy biến đổi điện tĩnh 3 pha GW20K-SDT-30 (20kw)</t>
  </si>
  <si>
    <t>24,693,000</t>
  </si>
  <si>
    <t>22,767,000</t>
  </si>
  <si>
    <t>GW20K-SDT-30-AFCI</t>
  </si>
  <si>
    <t>Máy biến đổi điện tĩnh 3 pha GW20K-SDT-30 (AFCI) (20kw)</t>
  </si>
  <si>
    <t>SG15RT-P2</t>
  </si>
  <si>
    <t>26,733,000</t>
  </si>
  <si>
    <t>Biến tần năng lượng mặt trời hòa lưới SG15RT-P2</t>
  </si>
  <si>
    <t>24,648,000</t>
  </si>
  <si>
    <t>Thêm chức năng phát hiện hồ quang và loại bỏ lỗi</t>
  </si>
  <si>
    <t>51,551,000</t>
  </si>
  <si>
    <t>39,822,000</t>
  </si>
  <si>
    <t>GW25K-SDT-C30-AFCI</t>
  </si>
  <si>
    <t>Máy biến đổi điện tĩnh 3 pha GW25K-SDT-C30 (AFCI) (25kw)</t>
  </si>
  <si>
    <t>SG20RT-P2</t>
  </si>
  <si>
    <t>30,772,000</t>
  </si>
  <si>
    <t>Biến tần năng lượng mặt trời hòa lưới SG20RT-P2</t>
  </si>
  <si>
    <t>28,372,000</t>
  </si>
  <si>
    <t>57,430,000</t>
  </si>
  <si>
    <t>44,363,000</t>
  </si>
  <si>
    <t>GW3000-XS-30</t>
  </si>
  <si>
    <t>Máy biến đổi điện tĩnh 1 pha GW3000-XS-30 (3kw)</t>
  </si>
  <si>
    <t>SG33CX-P2</t>
  </si>
  <si>
    <t>7,912,000</t>
  </si>
  <si>
    <t>Biến tần năng lượng mặt trời hòa lưới SG33CX-P2</t>
  </si>
  <si>
    <t>7,295,000</t>
  </si>
  <si>
    <t>74,613,000</t>
  </si>
  <si>
    <t>57,636,000</t>
  </si>
  <si>
    <t>GW30K-SDT-C30</t>
  </si>
  <si>
    <t>Máy biến đổi điện tĩnh 3 pha GW30K-SDT-C30 (30kw)</t>
  </si>
  <si>
    <t>SG40CX-P2</t>
  </si>
  <si>
    <t>31,230,000</t>
  </si>
  <si>
    <t>Biến tần năng lượng mặt trời hòa lưới SG40CX-P2</t>
  </si>
  <si>
    <t>28,795,000</t>
  </si>
  <si>
    <t>81,396,000</t>
  </si>
  <si>
    <t>62,876,000</t>
  </si>
  <si>
    <t>GW30K-SDT-C30-AFCI</t>
  </si>
  <si>
    <t>Máy biến đổi điện tĩnh 3 pha GW30K-SDT-C30 (AFCI) (30kw)</t>
  </si>
  <si>
    <t>SG50CX-P2</t>
  </si>
  <si>
    <t>Biến tần năng lượng mặt trời hòa lưới SG50CX-P2</t>
  </si>
  <si>
    <t>33,271,000</t>
  </si>
  <si>
    <t>30,676,000</t>
  </si>
  <si>
    <t>85,918,000</t>
  </si>
  <si>
    <t>66,369,000</t>
  </si>
  <si>
    <t>GW40K-SDT-C30</t>
  </si>
  <si>
    <t>Máy biến đổi điện tĩnh 3 pha GW40-SDT-C30 (40kw)</t>
  </si>
  <si>
    <t>SG8.0RS</t>
  </si>
  <si>
    <t>40,141,000</t>
  </si>
  <si>
    <t>Biến tần năng lượng mặt trời hòa lưới SG8.0RS</t>
  </si>
  <si>
    <t>37,011,000</t>
  </si>
  <si>
    <t>27,585,000</t>
  </si>
  <si>
    <t>21,309,000</t>
  </si>
  <si>
    <t>GW40K-SDT-C30-AFCI</t>
  </si>
  <si>
    <t>Máy biến đổi điện tĩnh 3 pha GW40-SDT-C30 (AFCI) (40kw)</t>
  </si>
  <si>
    <t>SG10RS</t>
  </si>
  <si>
    <t>Biến tần năng lượng mặt trời hòa lưới SG10RS</t>
  </si>
  <si>
    <t>42,181,000</t>
  </si>
  <si>
    <t>38,891,000</t>
  </si>
  <si>
    <t>30,750,000</t>
  </si>
  <si>
    <t>GW5000-DNS-30</t>
  </si>
  <si>
    <t>Máy biến đổi điện tĩnh 1 pha GW5000-DNS-30 (5kw)</t>
  </si>
  <si>
    <t>11,979,000</t>
  </si>
  <si>
    <t>GW50KS-MT</t>
  </si>
  <si>
    <t>Máy biến đổi điện tĩnh 3 pha GW50KS-MT (50kw)</t>
  </si>
  <si>
    <t>60,669,000</t>
  </si>
  <si>
    <t>55,937,000</t>
  </si>
  <si>
    <t>GW50KS-MT-AFCI</t>
  </si>
  <si>
    <t>Máy biến đổi điện tĩnh 3 pha GW50KS-MT (AFCI) (50kw)</t>
  </si>
  <si>
    <t>63,543,000</t>
  </si>
  <si>
    <t>58,587,000</t>
  </si>
  <si>
    <t>GW60KS-MT-AFCI</t>
  </si>
  <si>
    <t>Máy biến đổi điện tĩnh 3 pha GW60KS-MT (AFCI) (60kw)</t>
  </si>
  <si>
    <t>65,749,000</t>
  </si>
  <si>
    <t>60,621,000</t>
  </si>
  <si>
    <t>GW8000-SDT-30-AFCI</t>
  </si>
  <si>
    <t>Máy biến đổi điện tĩnh 3 pha GW8000-SDT-30 (AFCI) (8kw)</t>
  </si>
  <si>
    <t>22,736,000</t>
  </si>
  <si>
    <t>20,963,000</t>
  </si>
  <si>
    <t>GW80K-SMT</t>
  </si>
  <si>
    <t>Máy biến đổi điện tĩnh 3 pha GW80K-SMT (80kw)</t>
  </si>
  <si>
    <t>75,285,000</t>
  </si>
  <si>
    <t>69,413,000</t>
  </si>
  <si>
    <t>Tồn kho chủ yếu mã GW125k , các mã khác thường không có tồn kho, liên hệ sale phụ trách để báo thời gian có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</si>
</sst>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0.000"/>
  </numFmts>
  <fonts count="15">
    <font>
      <sz val="11.0"/>
      <color theme="1"/>
      <name val="Calibri"/>
      <scheme val="minor"/>
    </font>
    <font>
      <b/>
      <sz val="12.0"/>
      <color rgb="FFFF0000"/>
      <name val="Calibri"/>
    </font>
    <font>
      <b/>
      <sz val="11.0"/>
      <color rgb="FFFF0000"/>
      <name val="Calibri"/>
    </font>
    <font>
      <b/>
      <color rgb="FFFF0000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&quot;Segoe UI&quot;"/>
    </font>
    <font>
      <sz val="11.0"/>
      <color rgb="FF000000"/>
      <name val="Calibri"/>
    </font>
    <font>
      <b/>
      <i/>
      <sz val="12.0"/>
      <color theme="1"/>
      <name val="Calibri"/>
    </font>
    <font>
      <b/>
      <sz val="15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wrapText="1"/>
    </xf>
    <xf borderId="0" fillId="0" fontId="4" numFmtId="0" xfId="0" applyFont="1"/>
    <xf borderId="2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wrapText="0"/>
    </xf>
    <xf borderId="3" fillId="0" fontId="7" numFmtId="0" xfId="0" applyBorder="1" applyFont="1"/>
    <xf borderId="2" fillId="3" fontId="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4" fillId="0" fontId="7" numFmtId="0" xfId="0" applyBorder="1" applyFont="1"/>
    <xf borderId="1" fillId="0" fontId="9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10" numFmtId="3" xfId="0" applyBorder="1" applyFont="1" applyNumberFormat="1"/>
    <xf borderId="1" fillId="0" fontId="5" numFmtId="3" xfId="0" applyAlignment="1" applyBorder="1" applyFont="1" applyNumberFormat="1">
      <alignment horizontal="center" vertical="center"/>
    </xf>
    <xf borderId="1" fillId="0" fontId="5" numFmtId="3" xfId="0" applyAlignment="1" applyBorder="1" applyFont="1" applyNumberFormat="1">
      <alignment horizontal="center" shrinkToFit="0" vertical="center" wrapText="1"/>
    </xf>
    <xf borderId="2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wrapText="0"/>
    </xf>
    <xf borderId="1" fillId="0" fontId="12" numFmtId="0" xfId="0" applyAlignment="1" applyBorder="1" applyFont="1">
      <alignment horizontal="right" readingOrder="0" shrinkToFit="0" vertical="bottom" wrapText="0"/>
    </xf>
    <xf borderId="2" fillId="3" fontId="5" numFmtId="0" xfId="0" applyAlignment="1" applyBorder="1" applyFill="1" applyFont="1">
      <alignment horizontal="center" vertical="center"/>
    </xf>
    <xf borderId="0" fillId="0" fontId="11" numFmtId="164" xfId="0" applyAlignment="1" applyFont="1" applyNumberFormat="1">
      <alignment horizontal="center" readingOrder="0" shrinkToFit="0" wrapText="0"/>
    </xf>
    <xf borderId="1" fillId="0" fontId="12" numFmtId="0" xfId="0" applyAlignment="1" applyBorder="1" applyFont="1">
      <alignment horizontal="center" readingOrder="0" vertical="bottom"/>
    </xf>
    <xf borderId="1" fillId="0" fontId="12" numFmtId="3" xfId="0" applyAlignment="1" applyBorder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left" readingOrder="0"/>
    </xf>
    <xf borderId="0" fillId="0" fontId="4" numFmtId="164" xfId="0" applyFont="1" applyNumberFormat="1"/>
    <xf borderId="0" fillId="0" fontId="13" numFmtId="0" xfId="0" applyAlignment="1" applyFont="1">
      <alignment readingOrder="0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wrapText="1"/>
    </xf>
    <xf borderId="1" fillId="0" fontId="12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0" fontId="5" numFmtId="3" xfId="0" applyBorder="1" applyFont="1" applyNumberFormat="1"/>
    <xf borderId="0" fillId="2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  <col customWidth="1" min="3" max="3" width="28.57"/>
    <col customWidth="1" min="4" max="4" width="17.57"/>
    <col customWidth="1" min="5" max="5" width="22.29"/>
  </cols>
  <sheetData>
    <row r="1" ht="30.75" customHeight="1">
      <c r="A1" s="1" t="s">
        <v>0</v>
      </c>
      <c r="B1" s="1" t="s">
        <v>1</v>
      </c>
      <c r="C1" s="3" t="s">
        <v>2</v>
      </c>
      <c r="D1" s="1" t="s">
        <v>9</v>
      </c>
      <c r="E1" s="1" t="s">
        <v>10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 t="s">
        <v>13</v>
      </c>
      <c r="B2" s="7" t="s">
        <v>14</v>
      </c>
      <c r="C2" s="10" t="s">
        <v>15</v>
      </c>
      <c r="D2" s="14">
        <f>630*3327*1.08</f>
        <v>2263690.8</v>
      </c>
      <c r="E2" s="14">
        <f>630*3293*1.08</f>
        <v>2240557.2</v>
      </c>
      <c r="F2" s="19"/>
      <c r="G2" s="19"/>
      <c r="H2" s="22"/>
      <c r="I2" s="2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 t="s">
        <v>48</v>
      </c>
      <c r="B3" s="7" t="s">
        <v>51</v>
      </c>
      <c r="C3" s="10" t="s">
        <v>53</v>
      </c>
      <c r="D3" s="14">
        <f>620*3167*1.08</f>
        <v>2120623.2</v>
      </c>
      <c r="E3" s="14">
        <f>620*3135*1.08</f>
        <v>2099196</v>
      </c>
      <c r="F3" s="19"/>
      <c r="G3" s="19"/>
      <c r="H3" s="25"/>
      <c r="I3" s="2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48</v>
      </c>
      <c r="B4" s="7" t="s">
        <v>91</v>
      </c>
      <c r="C4" s="10" t="s">
        <v>92</v>
      </c>
      <c r="D4" s="14">
        <f>625*3160*1.08</f>
        <v>2133000</v>
      </c>
      <c r="E4" s="14">
        <f>625*3143*1.08</f>
        <v>2121525</v>
      </c>
      <c r="F4" s="26"/>
      <c r="G4" s="26"/>
      <c r="H4" s="25"/>
      <c r="I4" s="2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107</v>
      </c>
      <c r="B5" s="7" t="s">
        <v>110</v>
      </c>
      <c r="C5" s="27" t="s">
        <v>116</v>
      </c>
      <c r="D5" s="14">
        <f>620*3323*1.08</f>
        <v>2225080.8</v>
      </c>
      <c r="E5" s="14">
        <f>620*3306*1.08</f>
        <v>2213697.6</v>
      </c>
      <c r="F5" s="19"/>
      <c r="G5" s="19"/>
      <c r="H5" s="28"/>
      <c r="I5" s="2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7" t="s">
        <v>107</v>
      </c>
      <c r="B6" s="7" t="s">
        <v>143</v>
      </c>
      <c r="C6" s="27" t="s">
        <v>145</v>
      </c>
      <c r="D6" s="14">
        <f>650*3569*1.08</f>
        <v>2505438</v>
      </c>
      <c r="E6" s="14">
        <f>650*3550*1.08</f>
        <v>2492100</v>
      </c>
      <c r="F6" s="19"/>
      <c r="G6" s="26"/>
      <c r="H6" s="28"/>
      <c r="I6" s="2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9" t="s">
        <v>188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9" t="s">
        <v>196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9.86"/>
    <col customWidth="1" min="3" max="3" width="22.0"/>
    <col customWidth="1" min="4" max="4" width="23.29"/>
    <col customWidth="1" min="5" max="5" width="16.86"/>
    <col customWidth="1" min="6" max="6" width="19.14"/>
    <col customWidth="1" min="7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4</v>
      </c>
      <c r="E1" s="2" t="s">
        <v>5</v>
      </c>
      <c r="F1" s="4" t="s">
        <v>6</v>
      </c>
    </row>
    <row r="2" ht="14.25" customHeight="1">
      <c r="A2" s="6" t="s">
        <v>11</v>
      </c>
      <c r="B2" s="8"/>
      <c r="C2" s="8"/>
      <c r="D2" s="8"/>
      <c r="E2" s="11"/>
      <c r="F2" s="12"/>
    </row>
    <row r="3" ht="14.25" customHeight="1">
      <c r="A3" s="13" t="s">
        <v>20</v>
      </c>
      <c r="B3" s="13" t="s">
        <v>23</v>
      </c>
      <c r="C3" s="13" t="s">
        <v>25</v>
      </c>
      <c r="D3" s="13" t="s">
        <v>27</v>
      </c>
      <c r="E3" s="16">
        <v>4.742604E7</v>
      </c>
      <c r="F3" s="12"/>
    </row>
    <row r="4" ht="14.25" customHeight="1">
      <c r="A4" s="13" t="s">
        <v>31</v>
      </c>
      <c r="B4" s="13" t="s">
        <v>32</v>
      </c>
      <c r="C4" s="18" t="s">
        <v>34</v>
      </c>
      <c r="D4" s="13" t="s">
        <v>40</v>
      </c>
      <c r="E4" s="16">
        <v>4.282848E7</v>
      </c>
      <c r="F4" s="20" t="s">
        <v>41</v>
      </c>
    </row>
    <row r="5" ht="14.25" customHeight="1">
      <c r="A5" s="23" t="s">
        <v>47</v>
      </c>
      <c r="B5" s="23" t="s">
        <v>52</v>
      </c>
      <c r="C5" s="18" t="s">
        <v>55</v>
      </c>
      <c r="D5" s="23" t="s">
        <v>57</v>
      </c>
      <c r="E5" s="24" t="s">
        <v>61</v>
      </c>
      <c r="F5" s="20" t="s">
        <v>66</v>
      </c>
    </row>
    <row r="6" ht="14.25" customHeight="1">
      <c r="A6" s="13" t="s">
        <v>70</v>
      </c>
      <c r="B6" s="13" t="s">
        <v>72</v>
      </c>
      <c r="C6" s="13" t="s">
        <v>73</v>
      </c>
      <c r="D6" s="13" t="s">
        <v>74</v>
      </c>
      <c r="E6" s="16">
        <v>5.087988E7</v>
      </c>
      <c r="F6" s="12"/>
    </row>
    <row r="7" ht="14.25" customHeight="1">
      <c r="A7" s="13" t="s">
        <v>78</v>
      </c>
      <c r="B7" s="13" t="s">
        <v>81</v>
      </c>
      <c r="C7" s="13" t="s">
        <v>83</v>
      </c>
      <c r="D7" s="13" t="s">
        <v>85</v>
      </c>
      <c r="E7" s="16">
        <v>2.9949480000000004E7</v>
      </c>
      <c r="F7" s="12"/>
    </row>
    <row r="8" ht="14.25" customHeight="1">
      <c r="A8" s="21" t="s">
        <v>89</v>
      </c>
      <c r="B8" s="8"/>
      <c r="C8" s="8"/>
      <c r="D8" s="8"/>
      <c r="E8" s="11"/>
      <c r="F8" s="12"/>
    </row>
    <row r="9" ht="14.25" customHeight="1">
      <c r="A9" s="13" t="s">
        <v>98</v>
      </c>
      <c r="B9" s="13" t="s">
        <v>99</v>
      </c>
      <c r="C9" s="13" t="s">
        <v>44</v>
      </c>
      <c r="D9" s="13" t="s">
        <v>103</v>
      </c>
      <c r="E9" s="16">
        <v>1.885032E7</v>
      </c>
      <c r="F9" s="20" t="s">
        <v>105</v>
      </c>
    </row>
    <row r="10" ht="14.25" customHeight="1">
      <c r="A10" s="13" t="s">
        <v>108</v>
      </c>
      <c r="B10" s="13" t="s">
        <v>112</v>
      </c>
      <c r="C10" s="13" t="s">
        <v>44</v>
      </c>
      <c r="D10" s="13" t="s">
        <v>113</v>
      </c>
      <c r="E10" s="16">
        <v>1.847124E7</v>
      </c>
      <c r="F10" s="20"/>
    </row>
    <row r="11" ht="14.25" customHeight="1">
      <c r="A11" s="13" t="s">
        <v>119</v>
      </c>
      <c r="B11" s="13" t="s">
        <v>121</v>
      </c>
      <c r="C11" s="13" t="s">
        <v>44</v>
      </c>
      <c r="D11" s="13" t="s">
        <v>124</v>
      </c>
      <c r="E11" s="16">
        <v>1.941408E7</v>
      </c>
      <c r="F11" s="20" t="s">
        <v>126</v>
      </c>
    </row>
    <row r="12" ht="14.25" customHeight="1">
      <c r="A12" s="13" t="s">
        <v>129</v>
      </c>
      <c r="B12" s="13" t="s">
        <v>131</v>
      </c>
      <c r="C12" s="13" t="s">
        <v>44</v>
      </c>
      <c r="D12" s="13" t="s">
        <v>133</v>
      </c>
      <c r="E12" s="16">
        <v>2.9070360000000004E7</v>
      </c>
      <c r="F12" s="20" t="s">
        <v>135</v>
      </c>
    </row>
    <row r="13" ht="14.25" customHeight="1">
      <c r="A13" s="13" t="s">
        <v>138</v>
      </c>
      <c r="B13" s="13" t="s">
        <v>139</v>
      </c>
      <c r="C13" s="13" t="s">
        <v>44</v>
      </c>
      <c r="D13" s="13" t="s">
        <v>141</v>
      </c>
      <c r="E13" s="16">
        <v>3.2051160000000004E7</v>
      </c>
      <c r="F13" s="20" t="s">
        <v>144</v>
      </c>
    </row>
    <row r="14" ht="14.25" customHeight="1">
      <c r="A14" s="13" t="s">
        <v>146</v>
      </c>
      <c r="B14" s="13" t="s">
        <v>148</v>
      </c>
      <c r="C14" s="13" t="s">
        <v>44</v>
      </c>
      <c r="D14" s="13" t="s">
        <v>149</v>
      </c>
      <c r="E14" s="16">
        <v>3.43008E7</v>
      </c>
      <c r="F14" s="20" t="s">
        <v>151</v>
      </c>
    </row>
    <row r="15" ht="14.25" customHeight="1">
      <c r="A15" s="6" t="s">
        <v>154</v>
      </c>
      <c r="B15" s="8"/>
      <c r="C15" s="8"/>
      <c r="D15" s="8"/>
      <c r="E15" s="11"/>
      <c r="F15" s="12"/>
    </row>
    <row r="16" ht="14.25" customHeight="1">
      <c r="A16" s="13" t="s">
        <v>161</v>
      </c>
      <c r="B16" s="13" t="s">
        <v>164</v>
      </c>
      <c r="C16" s="13" t="s">
        <v>44</v>
      </c>
      <c r="D16" s="13" t="s">
        <v>167</v>
      </c>
      <c r="E16" s="16">
        <v>4.33458E7</v>
      </c>
      <c r="F16" s="20" t="s">
        <v>169</v>
      </c>
    </row>
    <row r="17" ht="14.25" customHeight="1">
      <c r="A17" s="13" t="s">
        <v>170</v>
      </c>
      <c r="B17" s="13" t="s">
        <v>173</v>
      </c>
      <c r="C17" s="13" t="s">
        <v>44</v>
      </c>
      <c r="D17" s="13" t="s">
        <v>174</v>
      </c>
      <c r="E17" s="16">
        <v>5.089068E7</v>
      </c>
      <c r="F17" s="20" t="s">
        <v>177</v>
      </c>
    </row>
    <row r="18" ht="14.25" customHeight="1">
      <c r="A18" s="13" t="s">
        <v>181</v>
      </c>
      <c r="B18" s="13" t="s">
        <v>183</v>
      </c>
      <c r="C18" s="13" t="s">
        <v>44</v>
      </c>
      <c r="D18" s="13" t="s">
        <v>186</v>
      </c>
      <c r="E18" s="16">
        <v>5.653044E7</v>
      </c>
      <c r="F18" s="20" t="s">
        <v>189</v>
      </c>
    </row>
    <row r="19" ht="14.25" customHeight="1">
      <c r="A19" s="6" t="s">
        <v>194</v>
      </c>
      <c r="B19" s="8"/>
      <c r="C19" s="8"/>
      <c r="D19" s="8"/>
      <c r="E19" s="11"/>
      <c r="F19" s="12"/>
    </row>
    <row r="20" ht="14.25" customHeight="1">
      <c r="A20" s="13" t="s">
        <v>201</v>
      </c>
      <c r="B20" s="13" t="s">
        <v>202</v>
      </c>
      <c r="C20" s="13" t="s">
        <v>44</v>
      </c>
      <c r="D20" s="13" t="s">
        <v>204</v>
      </c>
      <c r="E20" s="16">
        <v>1.0553112E8</v>
      </c>
      <c r="F20" s="12"/>
    </row>
    <row r="21" ht="14.25" customHeight="1">
      <c r="A21" s="13" t="s">
        <v>217</v>
      </c>
      <c r="B21" s="13" t="s">
        <v>218</v>
      </c>
      <c r="C21" s="13" t="s">
        <v>44</v>
      </c>
      <c r="D21" s="13" t="s">
        <v>222</v>
      </c>
      <c r="E21" s="16">
        <v>1.130706E8</v>
      </c>
      <c r="F21" s="12"/>
    </row>
    <row r="22" ht="14.25" customHeight="1">
      <c r="A22" s="21" t="s">
        <v>225</v>
      </c>
      <c r="B22" s="8"/>
      <c r="C22" s="8"/>
      <c r="D22" s="8"/>
      <c r="E22" s="11"/>
      <c r="F22" s="12"/>
    </row>
    <row r="23" ht="14.25" customHeight="1">
      <c r="A23" s="13" t="s">
        <v>234</v>
      </c>
      <c r="B23" s="13" t="s">
        <v>235</v>
      </c>
      <c r="C23" s="13" t="s">
        <v>44</v>
      </c>
      <c r="D23" s="13" t="s">
        <v>237</v>
      </c>
      <c r="E23" s="16">
        <v>7.34994E7</v>
      </c>
      <c r="F23" s="12"/>
    </row>
    <row r="24" ht="14.25" customHeight="1">
      <c r="A24" s="13" t="s">
        <v>239</v>
      </c>
      <c r="B24" s="13" t="s">
        <v>242</v>
      </c>
      <c r="C24" s="13" t="s">
        <v>44</v>
      </c>
      <c r="D24" s="13" t="s">
        <v>245</v>
      </c>
      <c r="E24" s="16">
        <v>9.423E7</v>
      </c>
      <c r="F24" s="12"/>
    </row>
    <row r="25" ht="14.25" customHeight="1">
      <c r="A25" s="13" t="s">
        <v>249</v>
      </c>
      <c r="B25" s="13" t="s">
        <v>251</v>
      </c>
      <c r="C25" s="13" t="s">
        <v>44</v>
      </c>
      <c r="D25" s="13" t="s">
        <v>222</v>
      </c>
      <c r="E25" s="16">
        <v>1.130706E8</v>
      </c>
      <c r="F25" s="12"/>
    </row>
    <row r="26" ht="14.25" customHeight="1">
      <c r="A26" s="13" t="s">
        <v>255</v>
      </c>
      <c r="B26" s="13" t="s">
        <v>257</v>
      </c>
      <c r="C26" s="13" t="s">
        <v>259</v>
      </c>
      <c r="D26" s="13" t="s">
        <v>260</v>
      </c>
      <c r="E26" s="16">
        <v>2987280.0</v>
      </c>
      <c r="F26" s="12"/>
    </row>
    <row r="27" ht="14.25" customHeight="1">
      <c r="A27" s="30" t="s">
        <v>265</v>
      </c>
      <c r="B27" s="30" t="s">
        <v>272</v>
      </c>
      <c r="C27" s="31" t="s">
        <v>275</v>
      </c>
      <c r="D27" s="30" t="s">
        <v>278</v>
      </c>
      <c r="E27" s="32" t="s">
        <v>281</v>
      </c>
      <c r="F27" s="1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2:E2"/>
    <mergeCell ref="A8:E8"/>
    <mergeCell ref="A15:E15"/>
    <mergeCell ref="A19:E19"/>
    <mergeCell ref="A22:E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2" width="54.86"/>
    <col customWidth="1" min="3" max="3" width="10.43"/>
    <col customWidth="1" min="4" max="4" width="21.57"/>
    <col customWidth="1" min="5" max="6" width="16.57"/>
    <col customWidth="1" min="7" max="7" width="19.71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4</v>
      </c>
      <c r="E1" s="2" t="s">
        <v>7</v>
      </c>
      <c r="F1" s="2" t="s">
        <v>8</v>
      </c>
      <c r="G1" s="4" t="s">
        <v>6</v>
      </c>
    </row>
    <row r="2" ht="14.25" customHeight="1">
      <c r="A2" s="9" t="s">
        <v>12</v>
      </c>
      <c r="B2" s="8"/>
      <c r="C2" s="8"/>
      <c r="D2" s="8"/>
      <c r="E2" s="8"/>
      <c r="F2" s="11"/>
      <c r="G2" s="12"/>
    </row>
    <row r="3" ht="14.25" customHeight="1">
      <c r="A3" s="13" t="s">
        <v>21</v>
      </c>
      <c r="B3" s="13" t="s">
        <v>24</v>
      </c>
      <c r="C3" s="13" t="s">
        <v>26</v>
      </c>
      <c r="D3" s="13" t="s">
        <v>28</v>
      </c>
      <c r="E3" s="15">
        <v>6.383826E8</v>
      </c>
      <c r="F3" s="15">
        <v>6.2241804E8</v>
      </c>
      <c r="G3" s="12"/>
    </row>
    <row r="4" ht="14.25" customHeight="1">
      <c r="A4" s="13" t="s">
        <v>29</v>
      </c>
      <c r="B4" s="13" t="s">
        <v>30</v>
      </c>
      <c r="C4" s="13" t="s">
        <v>26</v>
      </c>
      <c r="D4" s="13" t="s">
        <v>33</v>
      </c>
      <c r="E4" s="15">
        <v>6.8550516E8</v>
      </c>
      <c r="F4" s="15">
        <v>6.683634E8</v>
      </c>
      <c r="G4" s="12"/>
    </row>
    <row r="5" ht="14.25" customHeight="1">
      <c r="A5" s="13" t="s">
        <v>35</v>
      </c>
      <c r="B5" s="13" t="s">
        <v>36</v>
      </c>
      <c r="C5" s="13" t="s">
        <v>37</v>
      </c>
      <c r="D5" s="13" t="s">
        <v>38</v>
      </c>
      <c r="E5" s="15">
        <v>1.41895584E9</v>
      </c>
      <c r="F5" s="15">
        <v>1.38347352E9</v>
      </c>
      <c r="G5" s="12"/>
    </row>
    <row r="6" ht="14.25" customHeight="1">
      <c r="A6" s="21" t="s">
        <v>39</v>
      </c>
      <c r="B6" s="8"/>
      <c r="C6" s="8"/>
      <c r="D6" s="8"/>
      <c r="E6" s="8"/>
      <c r="F6" s="11"/>
      <c r="G6" s="12"/>
    </row>
    <row r="7" ht="14.25" customHeight="1">
      <c r="A7" s="13" t="s">
        <v>49</v>
      </c>
      <c r="B7" s="13" t="s">
        <v>54</v>
      </c>
      <c r="C7" s="13" t="s">
        <v>44</v>
      </c>
      <c r="D7" s="13" t="s">
        <v>58</v>
      </c>
      <c r="E7" s="15">
        <v>1966680.0000000002</v>
      </c>
      <c r="F7" s="15">
        <v>1917000.0000000002</v>
      </c>
      <c r="G7" s="12"/>
    </row>
    <row r="8" ht="14.25" customHeight="1">
      <c r="A8" s="13" t="s">
        <v>63</v>
      </c>
      <c r="B8" s="13" t="s">
        <v>65</v>
      </c>
      <c r="C8" s="13" t="s">
        <v>68</v>
      </c>
      <c r="D8" s="13" t="s">
        <v>71</v>
      </c>
      <c r="E8" s="15">
        <v>9040680.0</v>
      </c>
      <c r="F8" s="15">
        <v>8813880.0</v>
      </c>
      <c r="G8" s="12"/>
    </row>
    <row r="9" ht="14.25" customHeight="1">
      <c r="A9" s="13" t="s">
        <v>76</v>
      </c>
      <c r="B9" s="13" t="s">
        <v>79</v>
      </c>
      <c r="C9" s="13" t="s">
        <v>68</v>
      </c>
      <c r="D9" s="13" t="s">
        <v>84</v>
      </c>
      <c r="E9" s="15">
        <v>4324320.0</v>
      </c>
      <c r="F9" s="15">
        <v>4216320.0</v>
      </c>
      <c r="G9" s="12"/>
    </row>
    <row r="10" ht="14.25" customHeight="1">
      <c r="A10" s="13" t="s">
        <v>87</v>
      </c>
      <c r="B10" s="13" t="s">
        <v>88</v>
      </c>
      <c r="C10" s="13" t="s">
        <v>68</v>
      </c>
      <c r="D10" s="13" t="s">
        <v>90</v>
      </c>
      <c r="E10" s="15">
        <v>2358720.0</v>
      </c>
      <c r="F10" s="15">
        <v>2300400.0</v>
      </c>
      <c r="G10" s="12"/>
    </row>
    <row r="11" ht="14.25" customHeight="1">
      <c r="A11" s="13" t="s">
        <v>93</v>
      </c>
      <c r="B11" s="13" t="s">
        <v>94</v>
      </c>
      <c r="C11" s="13" t="s">
        <v>68</v>
      </c>
      <c r="D11" s="13" t="s">
        <v>96</v>
      </c>
      <c r="E11" s="15">
        <v>1.6232400000000002E7</v>
      </c>
      <c r="F11" s="15">
        <v>1.5826320000000002E7</v>
      </c>
      <c r="G11" s="12"/>
    </row>
    <row r="12" ht="14.25" customHeight="1">
      <c r="A12" s="13" t="s">
        <v>101</v>
      </c>
      <c r="B12" s="13" t="s">
        <v>104</v>
      </c>
      <c r="C12" s="13" t="s">
        <v>68</v>
      </c>
      <c r="D12" s="13" t="s">
        <v>106</v>
      </c>
      <c r="E12" s="15">
        <v>1.919484E7</v>
      </c>
      <c r="F12" s="15">
        <v>1.871532E7</v>
      </c>
      <c r="G12" s="12"/>
    </row>
    <row r="13" ht="14.25" customHeight="1">
      <c r="A13" s="13" t="s">
        <v>111</v>
      </c>
      <c r="B13" s="13" t="s">
        <v>114</v>
      </c>
      <c r="C13" s="13" t="s">
        <v>44</v>
      </c>
      <c r="D13" s="13" t="s">
        <v>118</v>
      </c>
      <c r="E13" s="15">
        <v>4.265892E7</v>
      </c>
      <c r="F13" s="15">
        <v>4.159188E7</v>
      </c>
      <c r="G13" s="12"/>
    </row>
    <row r="14" ht="14.25" customHeight="1">
      <c r="A14" s="13" t="s">
        <v>123</v>
      </c>
      <c r="B14" s="13" t="s">
        <v>127</v>
      </c>
      <c r="C14" s="13" t="s">
        <v>68</v>
      </c>
      <c r="D14" s="13" t="s">
        <v>132</v>
      </c>
      <c r="E14" s="15">
        <v>905040.0000000001</v>
      </c>
      <c r="F14" s="15">
        <v>882360.0</v>
      </c>
      <c r="G14" s="12"/>
    </row>
    <row r="15" ht="14.25" customHeight="1">
      <c r="A15" s="21" t="s">
        <v>137</v>
      </c>
      <c r="B15" s="8"/>
      <c r="C15" s="8"/>
      <c r="D15" s="8"/>
      <c r="E15" s="8"/>
      <c r="F15" s="11"/>
      <c r="G15" s="12"/>
    </row>
    <row r="16" ht="14.25" customHeight="1">
      <c r="A16" s="13" t="s">
        <v>147</v>
      </c>
      <c r="B16" s="13" t="s">
        <v>150</v>
      </c>
      <c r="C16" s="13" t="s">
        <v>152</v>
      </c>
      <c r="D16" s="13" t="s">
        <v>153</v>
      </c>
      <c r="E16" s="15">
        <v>1.80198E7</v>
      </c>
      <c r="F16" s="15">
        <v>1.756944E7</v>
      </c>
      <c r="G16" s="20" t="s">
        <v>155</v>
      </c>
    </row>
    <row r="17" ht="14.25" customHeight="1">
      <c r="A17" s="13" t="s">
        <v>156</v>
      </c>
      <c r="B17" s="13" t="s">
        <v>158</v>
      </c>
      <c r="C17" s="13" t="s">
        <v>152</v>
      </c>
      <c r="D17" s="13" t="s">
        <v>160</v>
      </c>
      <c r="E17" s="15">
        <v>1.860732E7</v>
      </c>
      <c r="F17" s="15">
        <v>1.814184E7</v>
      </c>
      <c r="G17" s="20" t="s">
        <v>163</v>
      </c>
    </row>
    <row r="18" ht="14.25" customHeight="1">
      <c r="A18" s="13" t="s">
        <v>166</v>
      </c>
      <c r="B18" s="13" t="s">
        <v>168</v>
      </c>
      <c r="C18" s="13" t="s">
        <v>152</v>
      </c>
      <c r="D18" s="13" t="s">
        <v>171</v>
      </c>
      <c r="E18" s="15">
        <v>2.663712E7</v>
      </c>
      <c r="F18" s="15">
        <v>2.597076E7</v>
      </c>
      <c r="G18" s="20" t="s">
        <v>175</v>
      </c>
    </row>
    <row r="19" ht="14.25" customHeight="1">
      <c r="A19" s="13" t="s">
        <v>178</v>
      </c>
      <c r="B19" s="13" t="s">
        <v>179</v>
      </c>
      <c r="C19" s="13" t="s">
        <v>152</v>
      </c>
      <c r="D19" s="13" t="s">
        <v>182</v>
      </c>
      <c r="E19" s="15">
        <v>2.8596240000000004E7</v>
      </c>
      <c r="F19" s="15">
        <v>2.788128E7</v>
      </c>
      <c r="G19" s="20" t="s">
        <v>187</v>
      </c>
    </row>
    <row r="20" ht="14.25" customHeight="1">
      <c r="A20" s="13" t="s">
        <v>190</v>
      </c>
      <c r="B20" s="13" t="s">
        <v>192</v>
      </c>
      <c r="C20" s="13" t="s">
        <v>152</v>
      </c>
      <c r="D20" s="13" t="s">
        <v>195</v>
      </c>
      <c r="E20" s="15">
        <v>3.0750840000000004E7</v>
      </c>
      <c r="F20" s="15">
        <v>2.9981880000000004E7</v>
      </c>
      <c r="G20" s="20" t="s">
        <v>198</v>
      </c>
    </row>
    <row r="21" ht="14.25" customHeight="1">
      <c r="A21" s="21" t="s">
        <v>154</v>
      </c>
      <c r="B21" s="8"/>
      <c r="C21" s="8"/>
      <c r="D21" s="8"/>
      <c r="E21" s="8"/>
      <c r="F21" s="11"/>
      <c r="G21" s="12"/>
    </row>
    <row r="22" ht="14.25" customHeight="1">
      <c r="A22" s="13" t="s">
        <v>207</v>
      </c>
      <c r="B22" s="13" t="s">
        <v>209</v>
      </c>
      <c r="C22" s="13" t="s">
        <v>210</v>
      </c>
      <c r="D22" s="13" t="s">
        <v>211</v>
      </c>
      <c r="E22" s="15">
        <v>4.26978E7</v>
      </c>
      <c r="F22" s="15">
        <v>4.163076E7</v>
      </c>
      <c r="G22" s="20" t="s">
        <v>213</v>
      </c>
    </row>
    <row r="23" ht="14.25" customHeight="1">
      <c r="A23" s="13" t="s">
        <v>214</v>
      </c>
      <c r="B23" s="13" t="s">
        <v>216</v>
      </c>
      <c r="C23" s="13" t="s">
        <v>210</v>
      </c>
      <c r="D23" s="13" t="s">
        <v>220</v>
      </c>
      <c r="E23" s="15">
        <v>4.661604E7</v>
      </c>
      <c r="F23" s="15">
        <v>4.544964E7</v>
      </c>
      <c r="G23" s="20" t="s">
        <v>223</v>
      </c>
    </row>
    <row r="24" ht="14.25" customHeight="1">
      <c r="A24" s="13" t="s">
        <v>224</v>
      </c>
      <c r="B24" s="13" t="s">
        <v>226</v>
      </c>
      <c r="C24" s="13" t="s">
        <v>210</v>
      </c>
      <c r="D24" s="13" t="s">
        <v>227</v>
      </c>
      <c r="E24" s="15">
        <v>5.111964E7</v>
      </c>
      <c r="F24" s="15">
        <v>4.9842E7</v>
      </c>
      <c r="G24" s="20" t="s">
        <v>229</v>
      </c>
    </row>
    <row r="25" ht="14.25" customHeight="1">
      <c r="A25" s="21" t="s">
        <v>231</v>
      </c>
      <c r="B25" s="8"/>
      <c r="C25" s="8"/>
      <c r="D25" s="8"/>
      <c r="E25" s="8"/>
      <c r="F25" s="11"/>
      <c r="G25" s="12"/>
    </row>
    <row r="26" ht="14.25" customHeight="1">
      <c r="A26" s="13" t="s">
        <v>241</v>
      </c>
      <c r="B26" s="13" t="s">
        <v>244</v>
      </c>
      <c r="C26" s="13" t="s">
        <v>246</v>
      </c>
      <c r="D26" s="13" t="s">
        <v>248</v>
      </c>
      <c r="E26" s="15">
        <v>5.063904E7</v>
      </c>
      <c r="F26" s="15">
        <v>4.937328E7</v>
      </c>
      <c r="G26" s="20" t="s">
        <v>253</v>
      </c>
    </row>
    <row r="27" ht="14.25" customHeight="1">
      <c r="A27" s="21" t="s">
        <v>194</v>
      </c>
      <c r="B27" s="8"/>
      <c r="C27" s="8"/>
      <c r="D27" s="8"/>
      <c r="E27" s="8"/>
      <c r="F27" s="11"/>
      <c r="G27" s="12"/>
    </row>
    <row r="28" ht="14.25" customHeight="1">
      <c r="A28" s="13" t="s">
        <v>264</v>
      </c>
      <c r="B28" s="13" t="s">
        <v>267</v>
      </c>
      <c r="C28" s="13" t="s">
        <v>269</v>
      </c>
      <c r="D28" s="13" t="s">
        <v>271</v>
      </c>
      <c r="E28" s="15">
        <v>3.49812E7</v>
      </c>
      <c r="F28" s="15">
        <v>3.41064E7</v>
      </c>
      <c r="G28" s="12"/>
    </row>
    <row r="29" ht="14.25" customHeight="1">
      <c r="A29" s="13" t="s">
        <v>273</v>
      </c>
      <c r="B29" s="13" t="s">
        <v>274</v>
      </c>
      <c r="C29" s="13" t="s">
        <v>276</v>
      </c>
      <c r="D29" s="13" t="s">
        <v>277</v>
      </c>
      <c r="E29" s="15">
        <v>6.032556000000001E7</v>
      </c>
      <c r="F29" s="15">
        <v>5.881680000000001E7</v>
      </c>
      <c r="G29" s="12"/>
    </row>
    <row r="30" ht="14.25" customHeight="1">
      <c r="A30" s="13" t="s">
        <v>279</v>
      </c>
      <c r="B30" s="13" t="s">
        <v>280</v>
      </c>
      <c r="C30" s="13" t="s">
        <v>276</v>
      </c>
      <c r="D30" s="13" t="s">
        <v>282</v>
      </c>
      <c r="E30" s="15">
        <v>6.345864000000001E7</v>
      </c>
      <c r="F30" s="15">
        <v>6.187212000000001E7</v>
      </c>
      <c r="G30" s="12"/>
    </row>
    <row r="31" ht="14.25" customHeight="1">
      <c r="A31" s="13" t="s">
        <v>283</v>
      </c>
      <c r="B31" s="13" t="s">
        <v>284</v>
      </c>
      <c r="C31" s="13" t="s">
        <v>285</v>
      </c>
      <c r="D31" s="13" t="s">
        <v>286</v>
      </c>
      <c r="E31" s="15">
        <v>7.364304E7</v>
      </c>
      <c r="F31" s="15">
        <v>7.180164E7</v>
      </c>
      <c r="G31" s="12"/>
    </row>
    <row r="32" ht="14.25" customHeight="1">
      <c r="A32" s="13" t="s">
        <v>287</v>
      </c>
      <c r="B32" s="13" t="s">
        <v>288</v>
      </c>
      <c r="C32" s="13" t="s">
        <v>285</v>
      </c>
      <c r="D32" s="13" t="s">
        <v>289</v>
      </c>
      <c r="E32" s="15">
        <v>7.756128E7</v>
      </c>
      <c r="F32" s="15">
        <v>7.56216E7</v>
      </c>
      <c r="G32" s="12"/>
    </row>
    <row r="33" ht="14.25" customHeight="1">
      <c r="A33" s="13" t="s">
        <v>290</v>
      </c>
      <c r="B33" s="13" t="s">
        <v>291</v>
      </c>
      <c r="C33" s="13" t="s">
        <v>44</v>
      </c>
      <c r="D33" s="13" t="s">
        <v>292</v>
      </c>
      <c r="E33" s="15">
        <v>1.060776E8</v>
      </c>
      <c r="F33" s="15">
        <v>1.0342512E8</v>
      </c>
      <c r="G33" s="12"/>
    </row>
    <row r="34" ht="14.25" customHeight="1">
      <c r="A34" s="13" t="s">
        <v>293</v>
      </c>
      <c r="B34" s="13" t="s">
        <v>294</v>
      </c>
      <c r="C34" s="13" t="s">
        <v>44</v>
      </c>
      <c r="D34" s="13" t="s">
        <v>295</v>
      </c>
      <c r="E34" s="15">
        <v>1.0983816E8</v>
      </c>
      <c r="F34" s="15">
        <v>1.0709172E8</v>
      </c>
      <c r="G34" s="12"/>
    </row>
    <row r="35" ht="14.25" customHeight="1">
      <c r="A35" s="21" t="s">
        <v>296</v>
      </c>
      <c r="B35" s="8"/>
      <c r="C35" s="8"/>
      <c r="D35" s="8"/>
      <c r="E35" s="8"/>
      <c r="F35" s="11"/>
      <c r="G35" s="12"/>
    </row>
    <row r="36" ht="14.25" customHeight="1">
      <c r="A36" s="13" t="s">
        <v>297</v>
      </c>
      <c r="B36" s="13" t="s">
        <v>298</v>
      </c>
      <c r="C36" s="13" t="s">
        <v>246</v>
      </c>
      <c r="D36" s="13" t="s">
        <v>299</v>
      </c>
      <c r="E36" s="15">
        <v>2.16E7</v>
      </c>
      <c r="F36" s="15">
        <v>2.16E7</v>
      </c>
      <c r="G36" s="12"/>
    </row>
    <row r="37" ht="14.25" customHeight="1">
      <c r="A37" s="13" t="s">
        <v>300</v>
      </c>
      <c r="B37" s="13" t="s">
        <v>301</v>
      </c>
      <c r="C37" s="13" t="s">
        <v>246</v>
      </c>
      <c r="D37" s="13" t="s">
        <v>302</v>
      </c>
      <c r="E37" s="15">
        <v>2.072304E7</v>
      </c>
      <c r="F37" s="15">
        <v>2.020464E7</v>
      </c>
      <c r="G37" s="1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4"/>
  <mergeCells count="7">
    <mergeCell ref="A2:F2"/>
    <mergeCell ref="A6:F6"/>
    <mergeCell ref="A15:F15"/>
    <mergeCell ref="A21:F21"/>
    <mergeCell ref="A25:F25"/>
    <mergeCell ref="A27:F27"/>
    <mergeCell ref="A35:F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5.14"/>
    <col customWidth="1" min="3" max="3" width="7.14"/>
    <col customWidth="1" min="4" max="4" width="18.43"/>
    <col customWidth="1" min="5" max="5" width="20.29"/>
    <col customWidth="1" min="6" max="6" width="13.29"/>
    <col customWidth="1" min="7" max="7" width="13.57"/>
    <col customWidth="1" min="8" max="8" width="18.29"/>
    <col customWidth="1" min="9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  <c r="H1" s="4" t="s">
        <v>6</v>
      </c>
    </row>
    <row r="2" ht="14.25" customHeight="1">
      <c r="A2" s="17" t="s">
        <v>22</v>
      </c>
      <c r="B2" s="8"/>
      <c r="C2" s="8"/>
      <c r="D2" s="8"/>
      <c r="E2" s="8"/>
      <c r="F2" s="8"/>
      <c r="G2" s="11"/>
      <c r="H2" s="12"/>
    </row>
    <row r="3" ht="14.25" customHeight="1">
      <c r="A3" s="13" t="s">
        <v>42</v>
      </c>
      <c r="B3" s="13" t="s">
        <v>43</v>
      </c>
      <c r="C3" s="13" t="s">
        <v>44</v>
      </c>
      <c r="D3" s="13" t="s">
        <v>45</v>
      </c>
      <c r="E3" s="13" t="s">
        <v>46</v>
      </c>
      <c r="F3" s="16">
        <v>1483920.0</v>
      </c>
      <c r="G3" s="16">
        <v>1447200.0</v>
      </c>
      <c r="H3" s="12"/>
    </row>
    <row r="4" ht="14.25" customHeight="1">
      <c r="A4" s="13" t="s">
        <v>50</v>
      </c>
      <c r="B4" s="13" t="s">
        <v>56</v>
      </c>
      <c r="C4" s="13" t="s">
        <v>44</v>
      </c>
      <c r="D4" s="13" t="s">
        <v>59</v>
      </c>
      <c r="E4" s="13" t="s">
        <v>60</v>
      </c>
      <c r="F4" s="16">
        <v>594000.0</v>
      </c>
      <c r="G4" s="16">
        <v>578880.0</v>
      </c>
      <c r="H4" s="12"/>
    </row>
    <row r="5" ht="14.25" customHeight="1">
      <c r="A5" s="13" t="s">
        <v>62</v>
      </c>
      <c r="B5" s="13" t="s">
        <v>64</v>
      </c>
      <c r="C5" s="13" t="s">
        <v>44</v>
      </c>
      <c r="D5" s="13" t="s">
        <v>67</v>
      </c>
      <c r="E5" s="13" t="s">
        <v>69</v>
      </c>
      <c r="F5" s="16">
        <v>1.223208E7</v>
      </c>
      <c r="G5" s="16">
        <v>1.192644E7</v>
      </c>
      <c r="H5" s="12"/>
    </row>
    <row r="6" ht="14.25" customHeight="1">
      <c r="A6" s="13" t="s">
        <v>75</v>
      </c>
      <c r="B6" s="13" t="s">
        <v>77</v>
      </c>
      <c r="C6" s="13" t="s">
        <v>44</v>
      </c>
      <c r="D6" s="13" t="s">
        <v>80</v>
      </c>
      <c r="E6" s="13" t="s">
        <v>82</v>
      </c>
      <c r="F6" s="16">
        <v>299160.0</v>
      </c>
      <c r="G6" s="16">
        <v>291600.0</v>
      </c>
      <c r="H6" s="12"/>
    </row>
    <row r="7" ht="14.25" customHeight="1">
      <c r="A7" s="17" t="s">
        <v>86</v>
      </c>
      <c r="B7" s="8"/>
      <c r="C7" s="8"/>
      <c r="D7" s="8"/>
      <c r="E7" s="8"/>
      <c r="F7" s="8"/>
      <c r="G7" s="11"/>
      <c r="H7" s="12"/>
    </row>
    <row r="8" ht="14.25" customHeight="1">
      <c r="A8" s="13" t="s">
        <v>95</v>
      </c>
      <c r="B8" s="13" t="s">
        <v>97</v>
      </c>
      <c r="C8" s="13" t="s">
        <v>44</v>
      </c>
      <c r="D8" s="13" t="s">
        <v>100</v>
      </c>
      <c r="E8" s="13" t="s">
        <v>102</v>
      </c>
      <c r="F8" s="16">
        <v>6926040.0</v>
      </c>
      <c r="G8" s="16">
        <v>6753240.0</v>
      </c>
      <c r="H8" s="20" t="s">
        <v>109</v>
      </c>
    </row>
    <row r="9" ht="14.25" customHeight="1">
      <c r="A9" s="13" t="s">
        <v>115</v>
      </c>
      <c r="B9" s="13" t="s">
        <v>117</v>
      </c>
      <c r="C9" s="13" t="s">
        <v>44</v>
      </c>
      <c r="D9" s="13" t="s">
        <v>120</v>
      </c>
      <c r="E9" s="13" t="s">
        <v>122</v>
      </c>
      <c r="F9" s="16">
        <v>8563320.0</v>
      </c>
      <c r="G9" s="16">
        <v>8349480.000000001</v>
      </c>
      <c r="H9" s="20" t="s">
        <v>125</v>
      </c>
    </row>
    <row r="10" ht="14.25" customHeight="1">
      <c r="A10" s="13" t="s">
        <v>128</v>
      </c>
      <c r="B10" s="13" t="s">
        <v>130</v>
      </c>
      <c r="C10" s="13" t="s">
        <v>44</v>
      </c>
      <c r="D10" s="13" t="s">
        <v>134</v>
      </c>
      <c r="E10" s="13" t="s">
        <v>136</v>
      </c>
      <c r="F10" s="16">
        <v>1.4272200000000002E7</v>
      </c>
      <c r="G10" s="16">
        <v>1.39158E7</v>
      </c>
      <c r="H10" s="20" t="s">
        <v>140</v>
      </c>
    </row>
    <row r="11" ht="14.25" customHeight="1">
      <c r="A11" s="17" t="s">
        <v>142</v>
      </c>
      <c r="B11" s="8"/>
      <c r="C11" s="8"/>
      <c r="D11" s="8"/>
      <c r="E11" s="8"/>
      <c r="F11" s="8"/>
      <c r="G11" s="11"/>
      <c r="H11" s="12"/>
    </row>
    <row r="12" ht="14.25" customHeight="1">
      <c r="A12" s="13" t="s">
        <v>157</v>
      </c>
      <c r="B12" s="13" t="s">
        <v>159</v>
      </c>
      <c r="C12" s="13" t="s">
        <v>44</v>
      </c>
      <c r="D12" s="13" t="s">
        <v>162</v>
      </c>
      <c r="E12" s="13" t="s">
        <v>165</v>
      </c>
      <c r="F12" s="16">
        <v>1.267704E7</v>
      </c>
      <c r="G12" s="16">
        <v>1.23606E7</v>
      </c>
      <c r="H12" s="20" t="s">
        <v>172</v>
      </c>
    </row>
    <row r="13" ht="14.25" customHeight="1">
      <c r="A13" s="13" t="s">
        <v>176</v>
      </c>
      <c r="B13" s="13" t="s">
        <v>180</v>
      </c>
      <c r="C13" s="13" t="s">
        <v>44</v>
      </c>
      <c r="D13" s="13" t="s">
        <v>184</v>
      </c>
      <c r="E13" s="13" t="s">
        <v>185</v>
      </c>
      <c r="F13" s="16">
        <v>1.853388E7</v>
      </c>
      <c r="G13" s="16">
        <v>1.807056E7</v>
      </c>
      <c r="H13" s="20" t="s">
        <v>191</v>
      </c>
    </row>
    <row r="14" ht="14.25" customHeight="1">
      <c r="A14" s="13" t="s">
        <v>193</v>
      </c>
      <c r="B14" s="13" t="s">
        <v>197</v>
      </c>
      <c r="C14" s="13" t="s">
        <v>44</v>
      </c>
      <c r="D14" s="13" t="s">
        <v>199</v>
      </c>
      <c r="E14" s="13" t="s">
        <v>200</v>
      </c>
      <c r="F14" s="16">
        <v>2.038716E7</v>
      </c>
      <c r="G14" s="16">
        <v>1.98774E7</v>
      </c>
      <c r="H14" s="12"/>
    </row>
    <row r="15" ht="14.25" customHeight="1">
      <c r="A15" s="13" t="s">
        <v>203</v>
      </c>
      <c r="B15" s="13" t="s">
        <v>205</v>
      </c>
      <c r="C15" s="13" t="s">
        <v>44</v>
      </c>
      <c r="D15" s="13" t="s">
        <v>206</v>
      </c>
      <c r="E15" s="13" t="s">
        <v>208</v>
      </c>
      <c r="F15" s="16">
        <v>2.224152E7</v>
      </c>
      <c r="G15" s="16">
        <v>2.168532E7</v>
      </c>
      <c r="H15" s="12"/>
    </row>
    <row r="16" ht="14.25" customHeight="1">
      <c r="A16" s="13" t="s">
        <v>212</v>
      </c>
      <c r="B16" s="13" t="s">
        <v>215</v>
      </c>
      <c r="C16" s="13" t="s">
        <v>44</v>
      </c>
      <c r="D16" s="13" t="s">
        <v>219</v>
      </c>
      <c r="E16" s="13" t="s">
        <v>221</v>
      </c>
      <c r="F16" s="16">
        <v>2.9653560000000004E7</v>
      </c>
      <c r="G16" s="16">
        <v>2.8911600000000004E7</v>
      </c>
      <c r="H16" s="12"/>
    </row>
    <row r="17" ht="14.25" customHeight="1">
      <c r="A17" s="13" t="s">
        <v>228</v>
      </c>
      <c r="B17" s="13" t="s">
        <v>230</v>
      </c>
      <c r="C17" s="13" t="s">
        <v>44</v>
      </c>
      <c r="D17" s="13" t="s">
        <v>232</v>
      </c>
      <c r="E17" s="13" t="s">
        <v>233</v>
      </c>
      <c r="F17" s="16">
        <v>3.725136E7</v>
      </c>
      <c r="G17" s="16">
        <v>3.63204E7</v>
      </c>
      <c r="H17" s="12"/>
    </row>
    <row r="18" ht="14.25" customHeight="1">
      <c r="A18" s="13" t="s">
        <v>236</v>
      </c>
      <c r="B18" s="13" t="s">
        <v>238</v>
      </c>
      <c r="C18" s="13" t="s">
        <v>44</v>
      </c>
      <c r="D18" s="13" t="s">
        <v>240</v>
      </c>
      <c r="E18" s="13" t="s">
        <v>243</v>
      </c>
      <c r="F18" s="16">
        <v>4.74444E7</v>
      </c>
      <c r="G18" s="16">
        <v>4.625856E7</v>
      </c>
      <c r="H18" s="12"/>
    </row>
    <row r="19" ht="14.25" customHeight="1">
      <c r="A19" s="13" t="s">
        <v>247</v>
      </c>
      <c r="B19" s="13" t="s">
        <v>250</v>
      </c>
      <c r="C19" s="13" t="s">
        <v>44</v>
      </c>
      <c r="D19" s="13" t="s">
        <v>252</v>
      </c>
      <c r="E19" s="13" t="s">
        <v>254</v>
      </c>
      <c r="F19" s="16">
        <v>5.485968E7</v>
      </c>
      <c r="G19" s="16">
        <v>5.3487E7</v>
      </c>
      <c r="H19" s="12"/>
    </row>
    <row r="20" ht="14.25" customHeight="1">
      <c r="A20" s="13" t="s">
        <v>256</v>
      </c>
      <c r="B20" s="13" t="s">
        <v>258</v>
      </c>
      <c r="C20" s="13" t="s">
        <v>44</v>
      </c>
      <c r="D20" s="13" t="s">
        <v>261</v>
      </c>
      <c r="E20" s="13" t="s">
        <v>262</v>
      </c>
      <c r="F20" s="16">
        <v>6.412392000000001E7</v>
      </c>
      <c r="G20" s="16">
        <v>6.252120000000001E7</v>
      </c>
      <c r="H20" s="12"/>
    </row>
    <row r="21" ht="14.25" customHeight="1">
      <c r="A21" s="13" t="s">
        <v>263</v>
      </c>
      <c r="B21" s="13" t="s">
        <v>266</v>
      </c>
      <c r="C21" s="13" t="s">
        <v>44</v>
      </c>
      <c r="D21" s="13" t="s">
        <v>268</v>
      </c>
      <c r="E21" s="13" t="s">
        <v>270</v>
      </c>
      <c r="F21" s="16">
        <v>9.210888E7</v>
      </c>
      <c r="G21" s="16">
        <v>8.980524E7</v>
      </c>
      <c r="H21" s="1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G2"/>
    <mergeCell ref="A7:G7"/>
    <mergeCell ref="A11:G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8.57"/>
    <col customWidth="1" min="3" max="3" width="14.14"/>
    <col customWidth="1" min="4" max="4" width="38.14"/>
    <col customWidth="1" min="5" max="6" width="14.57"/>
    <col customWidth="1" min="7" max="7" width="17.0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303</v>
      </c>
      <c r="E1" s="2" t="s">
        <v>304</v>
      </c>
      <c r="F1" s="2" t="s">
        <v>305</v>
      </c>
      <c r="G1" s="33" t="s">
        <v>6</v>
      </c>
    </row>
    <row r="2" ht="14.25" customHeight="1">
      <c r="A2" s="13" t="s">
        <v>306</v>
      </c>
      <c r="B2" s="13" t="s">
        <v>307</v>
      </c>
      <c r="C2" s="13" t="s">
        <v>308</v>
      </c>
      <c r="D2" s="13" t="s">
        <v>309</v>
      </c>
      <c r="E2" s="16">
        <v>1.9893049200000003E7</v>
      </c>
      <c r="F2" s="16">
        <v>1.93857948E7</v>
      </c>
      <c r="G2" s="34" t="s">
        <v>310</v>
      </c>
    </row>
    <row r="3" ht="14.25" customHeight="1">
      <c r="A3" s="13" t="s">
        <v>311</v>
      </c>
      <c r="B3" s="13" t="s">
        <v>312</v>
      </c>
      <c r="C3" s="13" t="s">
        <v>313</v>
      </c>
      <c r="D3" s="13" t="s">
        <v>314</v>
      </c>
      <c r="E3" s="16">
        <v>2.0696202E7</v>
      </c>
      <c r="F3" s="16">
        <v>2.0168924400000002E7</v>
      </c>
      <c r="G3" s="34" t="s">
        <v>315</v>
      </c>
    </row>
    <row r="4" ht="14.25" customHeight="1">
      <c r="A4" s="13" t="s">
        <v>316</v>
      </c>
      <c r="B4" s="13" t="s">
        <v>317</v>
      </c>
      <c r="C4" s="13" t="s">
        <v>318</v>
      </c>
      <c r="D4" s="13" t="s">
        <v>319</v>
      </c>
      <c r="E4" s="16">
        <v>3.1948128000000004E7</v>
      </c>
      <c r="F4" s="16">
        <v>3.11327388E7</v>
      </c>
      <c r="G4" s="34" t="s">
        <v>320</v>
      </c>
    </row>
    <row r="5" ht="14.25" customHeight="1">
      <c r="A5" s="13" t="s">
        <v>321</v>
      </c>
      <c r="B5" s="13" t="s">
        <v>322</v>
      </c>
      <c r="C5" s="13" t="s">
        <v>323</v>
      </c>
      <c r="D5" s="13" t="s">
        <v>324</v>
      </c>
      <c r="E5" s="16">
        <v>3.70863036E7</v>
      </c>
      <c r="F5" s="16">
        <v>3.61396512E7</v>
      </c>
      <c r="G5" s="34" t="s">
        <v>325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42.29"/>
    <col customWidth="1" min="3" max="3" width="13.14"/>
    <col customWidth="1" min="4" max="4" width="19.14"/>
    <col customWidth="1" min="5" max="5" width="15.14"/>
    <col customWidth="1" min="6" max="6" width="12.43"/>
    <col customWidth="1" min="7" max="7" width="12.86"/>
    <col customWidth="1" min="8" max="8" width="17.0"/>
    <col customWidth="1" min="9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  <c r="H1" s="35" t="s">
        <v>6</v>
      </c>
    </row>
    <row r="2" ht="14.25" customHeight="1">
      <c r="A2" s="36" t="s">
        <v>327</v>
      </c>
      <c r="B2" s="8"/>
      <c r="C2" s="8"/>
      <c r="D2" s="8"/>
      <c r="E2" s="8"/>
      <c r="F2" s="8"/>
      <c r="G2" s="11"/>
      <c r="H2" s="12"/>
    </row>
    <row r="3" ht="14.25" customHeight="1">
      <c r="A3" s="13" t="s">
        <v>330</v>
      </c>
      <c r="B3" s="13" t="s">
        <v>332</v>
      </c>
      <c r="C3" s="13" t="s">
        <v>333</v>
      </c>
      <c r="D3" s="13" t="s">
        <v>334</v>
      </c>
      <c r="E3" s="13" t="s">
        <v>335</v>
      </c>
      <c r="F3" s="16">
        <v>1.77444E7</v>
      </c>
      <c r="G3" s="16">
        <v>1.73016E7</v>
      </c>
      <c r="H3" s="20" t="s">
        <v>337</v>
      </c>
    </row>
    <row r="4" ht="14.25" customHeight="1">
      <c r="A4" s="13" t="s">
        <v>340</v>
      </c>
      <c r="B4" s="13" t="s">
        <v>342</v>
      </c>
      <c r="C4" s="13" t="s">
        <v>343</v>
      </c>
      <c r="D4" s="13" t="s">
        <v>344</v>
      </c>
      <c r="E4" s="13" t="s">
        <v>345</v>
      </c>
      <c r="F4" s="16">
        <v>3.4668E7</v>
      </c>
      <c r="G4" s="16">
        <v>3.380076E7</v>
      </c>
      <c r="H4" s="20" t="s">
        <v>348</v>
      </c>
    </row>
    <row r="5" ht="14.25" customHeight="1">
      <c r="A5" s="13" t="s">
        <v>350</v>
      </c>
      <c r="B5" s="13" t="s">
        <v>352</v>
      </c>
      <c r="C5" s="13" t="s">
        <v>353</v>
      </c>
      <c r="D5" s="13" t="s">
        <v>355</v>
      </c>
      <c r="E5" s="13" t="s">
        <v>356</v>
      </c>
      <c r="F5" s="16">
        <v>3.956256E7</v>
      </c>
      <c r="G5" s="16">
        <v>3.857328E7</v>
      </c>
      <c r="H5" s="20" t="s">
        <v>357</v>
      </c>
    </row>
    <row r="6" ht="14.25" customHeight="1">
      <c r="A6" s="13" t="s">
        <v>358</v>
      </c>
      <c r="B6" s="13" t="s">
        <v>359</v>
      </c>
      <c r="C6" s="13" t="s">
        <v>360</v>
      </c>
      <c r="D6" s="13" t="s">
        <v>361</v>
      </c>
      <c r="E6" s="13" t="s">
        <v>362</v>
      </c>
      <c r="F6" s="16">
        <v>4.156704E7</v>
      </c>
      <c r="G6" s="16">
        <v>4.052808E7</v>
      </c>
      <c r="H6" s="20" t="s">
        <v>363</v>
      </c>
    </row>
    <row r="7" ht="14.25" customHeight="1">
      <c r="A7" s="13" t="s">
        <v>364</v>
      </c>
      <c r="B7" s="13" t="s">
        <v>365</v>
      </c>
      <c r="C7" s="13" t="s">
        <v>366</v>
      </c>
      <c r="D7" s="13" t="s">
        <v>367</v>
      </c>
      <c r="E7" s="13" t="s">
        <v>369</v>
      </c>
      <c r="F7" s="16">
        <v>6.058152000000001E7</v>
      </c>
      <c r="G7" s="16">
        <v>5.906628000000001E7</v>
      </c>
      <c r="H7" s="20" t="s">
        <v>371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G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8.86"/>
    <col customWidth="1" min="3" max="3" width="8.43"/>
    <col customWidth="1" min="4" max="4" width="36.86"/>
    <col customWidth="1" min="5" max="5" width="13.57"/>
    <col customWidth="1" min="6" max="6" width="13.14"/>
    <col customWidth="1" min="7" max="7" width="18.43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16</v>
      </c>
      <c r="E1" s="2" t="s">
        <v>18</v>
      </c>
      <c r="F1" s="2" t="s">
        <v>19</v>
      </c>
      <c r="G1" s="4" t="s">
        <v>6</v>
      </c>
    </row>
    <row r="2" ht="14.25" customHeight="1">
      <c r="A2" s="6" t="s">
        <v>326</v>
      </c>
      <c r="B2" s="8"/>
      <c r="C2" s="8"/>
      <c r="D2" s="8"/>
      <c r="E2" s="8"/>
      <c r="F2" s="11"/>
      <c r="G2" s="37"/>
    </row>
    <row r="3" ht="14.25" customHeight="1">
      <c r="A3" s="13" t="s">
        <v>328</v>
      </c>
      <c r="B3" s="13" t="s">
        <v>329</v>
      </c>
      <c r="C3" s="13" t="s">
        <v>44</v>
      </c>
      <c r="D3" s="13" t="s">
        <v>331</v>
      </c>
      <c r="E3" s="16">
        <v>1.705752E7</v>
      </c>
      <c r="F3" s="16">
        <v>1.6630920000000002E7</v>
      </c>
      <c r="G3" s="32" t="s">
        <v>336</v>
      </c>
    </row>
    <row r="4" ht="14.25" customHeight="1">
      <c r="A4" s="13" t="s">
        <v>338</v>
      </c>
      <c r="B4" s="13" t="s">
        <v>339</v>
      </c>
      <c r="C4" s="13" t="s">
        <v>44</v>
      </c>
      <c r="D4" s="13" t="s">
        <v>341</v>
      </c>
      <c r="E4" s="16">
        <v>1.725624E7</v>
      </c>
      <c r="F4" s="16">
        <v>1.682424E7</v>
      </c>
      <c r="G4" s="32" t="s">
        <v>346</v>
      </c>
    </row>
    <row r="5" ht="14.25" customHeight="1">
      <c r="A5" s="13" t="s">
        <v>347</v>
      </c>
      <c r="B5" s="13" t="s">
        <v>349</v>
      </c>
      <c r="C5" s="13" t="s">
        <v>44</v>
      </c>
      <c r="D5" s="13" t="s">
        <v>351</v>
      </c>
      <c r="E5" s="16">
        <v>2.697408E7</v>
      </c>
      <c r="F5" s="16">
        <v>2.629908E7</v>
      </c>
      <c r="G5" s="32" t="s">
        <v>354</v>
      </c>
    </row>
    <row r="6" ht="14.25" customHeight="1">
      <c r="A6" s="17" t="s">
        <v>154</v>
      </c>
      <c r="B6" s="8"/>
      <c r="C6" s="8"/>
      <c r="D6" s="8"/>
      <c r="E6" s="8"/>
      <c r="F6" s="11"/>
      <c r="G6" s="12"/>
    </row>
    <row r="7" ht="14.25" customHeight="1">
      <c r="A7" s="13" t="s">
        <v>368</v>
      </c>
      <c r="B7" s="13" t="s">
        <v>370</v>
      </c>
      <c r="C7" s="13" t="s">
        <v>44</v>
      </c>
      <c r="D7" s="13" t="s">
        <v>372</v>
      </c>
      <c r="E7" s="16">
        <v>3.3076080000000004E7</v>
      </c>
      <c r="F7" s="16">
        <v>3.2248800000000004E7</v>
      </c>
      <c r="G7" s="12"/>
    </row>
    <row r="8" ht="14.25" customHeight="1">
      <c r="A8" s="13" t="s">
        <v>373</v>
      </c>
      <c r="B8" s="13" t="s">
        <v>374</v>
      </c>
      <c r="C8" s="13" t="s">
        <v>44</v>
      </c>
      <c r="D8" s="13" t="s">
        <v>375</v>
      </c>
      <c r="E8" s="16">
        <v>3.570048E7</v>
      </c>
      <c r="F8" s="16">
        <v>3.48084E7</v>
      </c>
      <c r="G8" s="12"/>
    </row>
    <row r="9" ht="14.25" customHeight="1">
      <c r="A9" s="17" t="s">
        <v>194</v>
      </c>
      <c r="B9" s="8"/>
      <c r="C9" s="8"/>
      <c r="D9" s="8"/>
      <c r="E9" s="8"/>
      <c r="F9" s="11"/>
      <c r="G9" s="12"/>
    </row>
    <row r="10" ht="14.25" customHeight="1">
      <c r="A10" s="13" t="s">
        <v>376</v>
      </c>
      <c r="B10" s="13" t="s">
        <v>377</v>
      </c>
      <c r="C10" s="13" t="s">
        <v>44</v>
      </c>
      <c r="D10" s="13" t="s">
        <v>378</v>
      </c>
      <c r="E10" s="16">
        <v>8.13186E7</v>
      </c>
      <c r="F10" s="16">
        <v>7.928388E7</v>
      </c>
      <c r="G10" s="12"/>
    </row>
    <row r="11" ht="14.25" customHeight="1">
      <c r="A11" s="13" t="s">
        <v>379</v>
      </c>
      <c r="B11" s="13" t="s">
        <v>380</v>
      </c>
      <c r="C11" s="13" t="s">
        <v>44</v>
      </c>
      <c r="D11" s="13" t="s">
        <v>381</v>
      </c>
      <c r="E11" s="16">
        <v>8.92512E7</v>
      </c>
      <c r="F11" s="16">
        <v>8.701884E7</v>
      </c>
      <c r="G11" s="12"/>
    </row>
    <row r="12" ht="14.25" customHeight="1">
      <c r="A12" s="13" t="s">
        <v>382</v>
      </c>
      <c r="B12" s="13" t="s">
        <v>383</v>
      </c>
      <c r="C12" s="13" t="s">
        <v>44</v>
      </c>
      <c r="D12" s="13" t="s">
        <v>384</v>
      </c>
      <c r="E12" s="16">
        <v>9.321804E7</v>
      </c>
      <c r="F12" s="16">
        <v>9.088632E7</v>
      </c>
      <c r="G12" s="12"/>
    </row>
    <row r="13" ht="14.25" customHeight="1">
      <c r="A13" s="13" t="s">
        <v>385</v>
      </c>
      <c r="B13" s="13" t="s">
        <v>386</v>
      </c>
      <c r="C13" s="13" t="s">
        <v>44</v>
      </c>
      <c r="D13" s="13" t="s">
        <v>387</v>
      </c>
      <c r="E13" s="16">
        <v>9.718488E7</v>
      </c>
      <c r="F13" s="16">
        <v>9.47538E7</v>
      </c>
      <c r="G13" s="1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"/>
  <mergeCells count="3">
    <mergeCell ref="A2:F2"/>
    <mergeCell ref="A6:F6"/>
    <mergeCell ref="A9:F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48.86"/>
    <col customWidth="1" min="3" max="3" width="20.86"/>
    <col customWidth="1" min="4" max="4" width="17.43"/>
    <col customWidth="1" min="5" max="5" width="15.71"/>
    <col customWidth="1" min="6" max="6" width="13.0"/>
    <col customWidth="1" min="7" max="7" width="14.29"/>
    <col customWidth="1" min="8" max="8" width="15.71"/>
    <col customWidth="1" min="9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4</v>
      </c>
      <c r="E1" s="2" t="s">
        <v>388</v>
      </c>
      <c r="F1" s="2" t="s">
        <v>7</v>
      </c>
      <c r="G1" s="2" t="s">
        <v>8</v>
      </c>
    </row>
    <row r="2" ht="14.25" customHeight="1">
      <c r="A2" s="38"/>
      <c r="B2" s="8"/>
      <c r="C2" s="8"/>
      <c r="D2" s="8"/>
      <c r="E2" s="8"/>
      <c r="F2" s="8"/>
      <c r="G2" s="11"/>
    </row>
    <row r="3" ht="14.25" customHeight="1">
      <c r="A3" s="13" t="s">
        <v>389</v>
      </c>
      <c r="B3" s="13" t="s">
        <v>390</v>
      </c>
      <c r="C3" s="13" t="s">
        <v>44</v>
      </c>
      <c r="D3" s="13" t="s">
        <v>391</v>
      </c>
      <c r="E3" s="13" t="s">
        <v>392</v>
      </c>
      <c r="F3" s="16">
        <v>3.0614760000000004E7</v>
      </c>
      <c r="G3" s="16">
        <v>2.9849040000000004E7</v>
      </c>
    </row>
    <row r="4" ht="14.25" customHeight="1">
      <c r="A4" s="13" t="s">
        <v>393</v>
      </c>
      <c r="B4" s="13" t="s">
        <v>394</v>
      </c>
      <c r="C4" s="13" t="s">
        <v>44</v>
      </c>
      <c r="D4" s="13" t="s">
        <v>395</v>
      </c>
      <c r="E4" s="13" t="s">
        <v>396</v>
      </c>
      <c r="F4" s="16">
        <v>7300800.000000001</v>
      </c>
      <c r="G4" s="16">
        <v>7300800.000000001</v>
      </c>
    </row>
    <row r="5" ht="14.25" customHeight="1">
      <c r="A5" s="13" t="s">
        <v>397</v>
      </c>
      <c r="B5" s="13" t="s">
        <v>398</v>
      </c>
      <c r="C5" s="13" t="s">
        <v>44</v>
      </c>
      <c r="D5" s="13" t="s">
        <v>399</v>
      </c>
      <c r="E5" s="13" t="s">
        <v>400</v>
      </c>
      <c r="F5" s="16">
        <v>4.635252E7</v>
      </c>
      <c r="G5" s="16">
        <v>4.519368E7</v>
      </c>
    </row>
    <row r="6" ht="14.25" customHeight="1">
      <c r="A6" s="13" t="s">
        <v>401</v>
      </c>
      <c r="B6" s="13" t="s">
        <v>402</v>
      </c>
      <c r="C6" s="13" t="s">
        <v>44</v>
      </c>
      <c r="D6" s="13" t="s">
        <v>403</v>
      </c>
      <c r="E6" s="13" t="s">
        <v>404</v>
      </c>
      <c r="F6" s="16">
        <v>9863640.0</v>
      </c>
      <c r="G6" s="16">
        <v>9863640.0</v>
      </c>
    </row>
    <row r="7" ht="14.25" customHeight="1">
      <c r="A7" s="13" t="s">
        <v>405</v>
      </c>
      <c r="B7" s="13" t="s">
        <v>402</v>
      </c>
      <c r="C7" s="13" t="s">
        <v>44</v>
      </c>
      <c r="D7" s="13" t="s">
        <v>406</v>
      </c>
      <c r="E7" s="13" t="s">
        <v>407</v>
      </c>
      <c r="F7" s="16">
        <v>1.925316E7</v>
      </c>
      <c r="G7" s="16">
        <v>1.925316E7</v>
      </c>
    </row>
    <row r="8" ht="14.25" customHeight="1">
      <c r="A8" s="13" t="s">
        <v>408</v>
      </c>
      <c r="B8" s="13" t="s">
        <v>409</v>
      </c>
      <c r="C8" s="13" t="s">
        <v>44</v>
      </c>
      <c r="D8" s="13" t="s">
        <v>410</v>
      </c>
      <c r="E8" s="13" t="s">
        <v>411</v>
      </c>
      <c r="F8" s="16">
        <v>1.6293960000000002E7</v>
      </c>
      <c r="G8" s="16">
        <v>1.5886800000000002E7</v>
      </c>
    </row>
    <row r="9" ht="14.25" customHeight="1">
      <c r="A9" s="13" t="s">
        <v>412</v>
      </c>
      <c r="B9" s="13" t="s">
        <v>413</v>
      </c>
      <c r="C9" s="13" t="s">
        <v>44</v>
      </c>
      <c r="D9" s="13" t="s">
        <v>414</v>
      </c>
      <c r="E9" s="13" t="s">
        <v>415</v>
      </c>
      <c r="F9" s="16">
        <v>2.00772E7</v>
      </c>
      <c r="G9" s="16">
        <v>1.957608E7</v>
      </c>
    </row>
    <row r="10" ht="14.25" customHeight="1">
      <c r="A10" s="13" t="s">
        <v>416</v>
      </c>
      <c r="B10" s="13" t="s">
        <v>417</v>
      </c>
      <c r="C10" s="13" t="s">
        <v>44</v>
      </c>
      <c r="D10" s="13" t="s">
        <v>418</v>
      </c>
      <c r="E10" s="13" t="s">
        <v>419</v>
      </c>
      <c r="F10" s="16">
        <v>1.100304E7</v>
      </c>
      <c r="G10" s="16">
        <v>1.100304E7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G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7.86"/>
    <col customWidth="1" min="3" max="3" width="24.43"/>
    <col customWidth="1" min="4" max="4" width="13.57"/>
    <col customWidth="1" min="5" max="5" width="18.71"/>
    <col customWidth="1" min="6" max="7" width="18.43"/>
    <col customWidth="1" min="8" max="8" width="17.0"/>
    <col customWidth="1" min="9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4</v>
      </c>
      <c r="E1" s="2" t="s">
        <v>421</v>
      </c>
      <c r="F1" s="2" t="s">
        <v>7</v>
      </c>
      <c r="G1" s="2" t="s">
        <v>8</v>
      </c>
      <c r="H1" s="39" t="s">
        <v>6</v>
      </c>
    </row>
    <row r="2" ht="14.25" customHeight="1">
      <c r="A2" s="13" t="s">
        <v>424</v>
      </c>
      <c r="B2" s="13" t="s">
        <v>425</v>
      </c>
      <c r="C2" s="13" t="s">
        <v>427</v>
      </c>
      <c r="D2" s="13" t="s">
        <v>429</v>
      </c>
      <c r="E2" s="13" t="s">
        <v>431</v>
      </c>
      <c r="F2" s="16">
        <v>4.964544E7</v>
      </c>
      <c r="G2" s="16">
        <v>4.860216E7</v>
      </c>
      <c r="H2" s="32" t="s">
        <v>433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2.43"/>
    <col customWidth="1" min="3" max="3" width="30.29"/>
    <col customWidth="1" min="4" max="4" width="15.14"/>
    <col customWidth="1" min="5" max="6" width="15.86"/>
    <col customWidth="1" min="7" max="7" width="16.71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420</v>
      </c>
      <c r="E1" s="2" t="s">
        <v>18</v>
      </c>
      <c r="F1" s="2" t="s">
        <v>422</v>
      </c>
      <c r="G1" s="39" t="s">
        <v>6</v>
      </c>
    </row>
    <row r="2" ht="14.25" customHeight="1">
      <c r="A2" s="13" t="s">
        <v>423</v>
      </c>
      <c r="B2" s="13" t="s">
        <v>426</v>
      </c>
      <c r="C2" s="13" t="s">
        <v>428</v>
      </c>
      <c r="D2" s="13" t="s">
        <v>430</v>
      </c>
      <c r="E2" s="16">
        <v>3407400.0</v>
      </c>
      <c r="F2" s="16">
        <v>3319920.0</v>
      </c>
    </row>
    <row r="3" ht="14.25" customHeight="1">
      <c r="A3" s="13" t="s">
        <v>432</v>
      </c>
      <c r="B3" s="13" t="s">
        <v>434</v>
      </c>
      <c r="C3" s="13" t="s">
        <v>435</v>
      </c>
      <c r="D3" s="13" t="s">
        <v>436</v>
      </c>
      <c r="E3" s="16">
        <v>3797280.0000000005</v>
      </c>
      <c r="F3" s="16">
        <v>3700080.0000000005</v>
      </c>
    </row>
    <row r="4" ht="14.25" customHeight="1">
      <c r="A4" s="13" t="s">
        <v>437</v>
      </c>
      <c r="B4" s="13" t="s">
        <v>438</v>
      </c>
      <c r="C4" s="13" t="s">
        <v>439</v>
      </c>
      <c r="D4" s="13" t="s">
        <v>440</v>
      </c>
      <c r="E4" s="16">
        <v>4892400.0</v>
      </c>
      <c r="F4" s="16">
        <v>4767120.0</v>
      </c>
    </row>
    <row r="5" ht="14.25" customHeight="1">
      <c r="A5" s="13" t="s">
        <v>441</v>
      </c>
      <c r="B5" s="13" t="s">
        <v>442</v>
      </c>
      <c r="C5" s="13" t="s">
        <v>443</v>
      </c>
      <c r="D5" s="13" t="s">
        <v>444</v>
      </c>
      <c r="E5" s="16">
        <v>5286600.0</v>
      </c>
      <c r="F5" s="16">
        <v>5150520.0</v>
      </c>
    </row>
    <row r="6" ht="14.25" customHeight="1">
      <c r="A6" s="13" t="s">
        <v>445</v>
      </c>
      <c r="B6" s="13" t="s">
        <v>446</v>
      </c>
      <c r="C6" s="13" t="s">
        <v>447</v>
      </c>
      <c r="D6" s="13" t="s">
        <v>448</v>
      </c>
      <c r="E6" s="16">
        <v>6252120.0</v>
      </c>
      <c r="F6" s="16">
        <v>6091200.0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3.14"/>
    <col customWidth="1" min="3" max="3" width="25.57"/>
    <col customWidth="1" min="4" max="4" width="12.86"/>
    <col customWidth="1" min="5" max="5" width="28.57"/>
    <col customWidth="1" min="6" max="6" width="12.57"/>
    <col customWidth="1" min="7" max="7" width="12.43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449</v>
      </c>
      <c r="D1" s="2" t="s">
        <v>2</v>
      </c>
      <c r="E1" s="2" t="s">
        <v>420</v>
      </c>
      <c r="F1" s="2" t="s">
        <v>450</v>
      </c>
      <c r="G1" s="2" t="s">
        <v>451</v>
      </c>
    </row>
    <row r="2" ht="14.25" customHeight="1">
      <c r="A2" s="13" t="s">
        <v>452</v>
      </c>
      <c r="B2" s="13" t="s">
        <v>453</v>
      </c>
      <c r="C2" s="13" t="s">
        <v>454</v>
      </c>
      <c r="D2" s="13" t="s">
        <v>44</v>
      </c>
      <c r="E2" s="13" t="s">
        <v>455</v>
      </c>
      <c r="F2" s="40">
        <v>1.2382416E8</v>
      </c>
      <c r="G2" s="40">
        <v>1.1998368000000001E8</v>
      </c>
    </row>
    <row r="3" ht="14.25" customHeight="1">
      <c r="A3" s="13" t="s">
        <v>456</v>
      </c>
      <c r="B3" s="13" t="s">
        <v>457</v>
      </c>
      <c r="C3" s="13" t="s">
        <v>458</v>
      </c>
      <c r="D3" s="13" t="s">
        <v>459</v>
      </c>
      <c r="E3" s="13" t="s">
        <v>460</v>
      </c>
      <c r="F3" s="40">
        <v>1.4995152E8</v>
      </c>
      <c r="G3" s="40">
        <v>1.4530104E8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9.57"/>
    <col customWidth="1" min="3" max="3" width="7.14"/>
    <col customWidth="1" min="4" max="4" width="19.14"/>
    <col customWidth="1" min="5" max="5" width="19.43"/>
    <col customWidth="1" min="6" max="7" width="16.43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</row>
    <row r="2" ht="14.25" customHeight="1">
      <c r="A2" s="13" t="s">
        <v>461</v>
      </c>
      <c r="B2" s="13" t="s">
        <v>462</v>
      </c>
      <c r="C2" s="13" t="s">
        <v>44</v>
      </c>
      <c r="D2" s="13" t="s">
        <v>463</v>
      </c>
      <c r="E2" s="13" t="s">
        <v>464</v>
      </c>
      <c r="F2" s="16">
        <v>9.200844E7</v>
      </c>
      <c r="G2" s="16">
        <v>8.881596E7</v>
      </c>
    </row>
    <row r="3" ht="14.25" customHeight="1">
      <c r="A3" s="13" t="s">
        <v>465</v>
      </c>
      <c r="B3" s="13" t="s">
        <v>466</v>
      </c>
      <c r="C3" s="13" t="s">
        <v>44</v>
      </c>
      <c r="D3" s="13" t="s">
        <v>467</v>
      </c>
      <c r="E3" s="13" t="s">
        <v>468</v>
      </c>
      <c r="F3" s="16">
        <v>9.716004E7</v>
      </c>
      <c r="G3" s="16">
        <v>9.378828E7</v>
      </c>
    </row>
    <row r="4" ht="14.25" customHeight="1">
      <c r="A4" s="13" t="s">
        <v>469</v>
      </c>
      <c r="B4" s="13" t="s">
        <v>470</v>
      </c>
      <c r="C4" s="13" t="s">
        <v>44</v>
      </c>
      <c r="D4" s="13" t="s">
        <v>471</v>
      </c>
      <c r="E4" s="13" t="s">
        <v>472</v>
      </c>
      <c r="F4" s="16">
        <v>1.6648200000000002E7</v>
      </c>
      <c r="G4" s="16">
        <v>1.6070400000000002E7</v>
      </c>
    </row>
    <row r="5" ht="14.25" customHeight="1">
      <c r="A5" s="13" t="s">
        <v>473</v>
      </c>
      <c r="B5" s="13" t="s">
        <v>474</v>
      </c>
      <c r="C5" s="13" t="s">
        <v>44</v>
      </c>
      <c r="D5" s="13" t="s">
        <v>475</v>
      </c>
      <c r="E5" s="13" t="s">
        <v>476</v>
      </c>
      <c r="F5" s="16">
        <v>1.896156E7</v>
      </c>
      <c r="G5" s="16">
        <v>1.830384E7</v>
      </c>
    </row>
    <row r="6" ht="14.25" customHeight="1">
      <c r="A6" s="13" t="s">
        <v>479</v>
      </c>
      <c r="B6" s="13" t="s">
        <v>480</v>
      </c>
      <c r="C6" s="13" t="s">
        <v>44</v>
      </c>
      <c r="D6" s="13" t="s">
        <v>483</v>
      </c>
      <c r="E6" s="13" t="s">
        <v>484</v>
      </c>
      <c r="F6" s="16">
        <v>2.079216E7</v>
      </c>
      <c r="G6" s="16">
        <v>2.007072E7</v>
      </c>
    </row>
    <row r="7" ht="14.25" customHeight="1">
      <c r="A7" s="13" t="s">
        <v>485</v>
      </c>
      <c r="B7" s="13" t="s">
        <v>487</v>
      </c>
      <c r="C7" s="13" t="s">
        <v>44</v>
      </c>
      <c r="D7" s="13" t="s">
        <v>488</v>
      </c>
      <c r="E7" s="13" t="s">
        <v>490</v>
      </c>
      <c r="F7" s="16">
        <v>1.0093032E8</v>
      </c>
      <c r="G7" s="16">
        <v>9.742788E7</v>
      </c>
    </row>
    <row r="8" ht="14.25" customHeight="1">
      <c r="A8" s="13" t="s">
        <v>493</v>
      </c>
      <c r="B8" s="13" t="s">
        <v>494</v>
      </c>
      <c r="C8" s="13" t="s">
        <v>44</v>
      </c>
      <c r="D8" s="13" t="s">
        <v>496</v>
      </c>
      <c r="E8" s="13" t="s">
        <v>498</v>
      </c>
      <c r="F8" s="16">
        <v>1.006668E8</v>
      </c>
      <c r="G8" s="16">
        <v>9.717408E7</v>
      </c>
    </row>
    <row r="9" ht="14.25" customHeight="1">
      <c r="A9" s="13" t="s">
        <v>501</v>
      </c>
      <c r="B9" s="13" t="s">
        <v>502</v>
      </c>
      <c r="C9" s="13" t="s">
        <v>44</v>
      </c>
      <c r="D9" s="13" t="s">
        <v>504</v>
      </c>
      <c r="E9" s="13" t="s">
        <v>506</v>
      </c>
      <c r="F9" s="16">
        <v>1.060452E8</v>
      </c>
      <c r="G9" s="16">
        <v>1.0236564E8</v>
      </c>
    </row>
    <row r="10" ht="14.25" customHeight="1">
      <c r="A10" s="13" t="s">
        <v>509</v>
      </c>
      <c r="B10" s="13" t="s">
        <v>510</v>
      </c>
      <c r="C10" s="13" t="s">
        <v>44</v>
      </c>
      <c r="D10" s="13" t="s">
        <v>512</v>
      </c>
      <c r="E10" s="13" t="s">
        <v>514</v>
      </c>
      <c r="F10" s="16">
        <v>2.146284E7</v>
      </c>
      <c r="G10" s="16">
        <v>2.071872E7</v>
      </c>
    </row>
    <row r="11" ht="14.25" customHeight="1">
      <c r="A11" s="13" t="s">
        <v>517</v>
      </c>
      <c r="B11" s="13" t="s">
        <v>518</v>
      </c>
      <c r="C11" s="13" t="s">
        <v>44</v>
      </c>
      <c r="D11" s="13" t="s">
        <v>520</v>
      </c>
      <c r="E11" s="13" t="s">
        <v>522</v>
      </c>
      <c r="F11" s="16">
        <v>2.00826E7</v>
      </c>
      <c r="G11" s="16">
        <v>1.9386E7</v>
      </c>
    </row>
    <row r="12" ht="14.25" customHeight="1">
      <c r="A12" s="13" t="s">
        <v>525</v>
      </c>
      <c r="B12" s="13" t="s">
        <v>526</v>
      </c>
      <c r="C12" s="13" t="s">
        <v>44</v>
      </c>
      <c r="D12" s="13" t="s">
        <v>527</v>
      </c>
      <c r="E12" s="13" t="s">
        <v>528</v>
      </c>
      <c r="F12" s="16">
        <v>2.191104E7</v>
      </c>
      <c r="G12" s="16">
        <v>2.115072E7</v>
      </c>
    </row>
    <row r="13" ht="14.25" customHeight="1">
      <c r="A13" s="13" t="s">
        <v>530</v>
      </c>
      <c r="B13" s="13" t="s">
        <v>531</v>
      </c>
      <c r="C13" s="13" t="s">
        <v>44</v>
      </c>
      <c r="D13" s="13" t="s">
        <v>532</v>
      </c>
      <c r="E13" s="13" t="s">
        <v>533</v>
      </c>
      <c r="F13" s="16">
        <v>2.213568E7</v>
      </c>
      <c r="G13" s="16">
        <v>2.13678E7</v>
      </c>
    </row>
    <row r="14" ht="14.25" customHeight="1">
      <c r="A14" s="13" t="s">
        <v>534</v>
      </c>
      <c r="B14" s="13" t="s">
        <v>535</v>
      </c>
      <c r="C14" s="13" t="s">
        <v>44</v>
      </c>
      <c r="D14" s="13" t="s">
        <v>537</v>
      </c>
      <c r="E14" s="13" t="s">
        <v>539</v>
      </c>
      <c r="F14" s="16">
        <v>2.396412E7</v>
      </c>
      <c r="G14" s="16">
        <v>2.313252E7</v>
      </c>
    </row>
    <row r="15" ht="14.25" customHeight="1">
      <c r="A15" s="13" t="s">
        <v>543</v>
      </c>
      <c r="B15" s="13" t="s">
        <v>544</v>
      </c>
      <c r="C15" s="13" t="s">
        <v>44</v>
      </c>
      <c r="D15" s="13" t="s">
        <v>546</v>
      </c>
      <c r="E15" s="13" t="s">
        <v>548</v>
      </c>
      <c r="F15" s="16">
        <v>2.758428E7</v>
      </c>
      <c r="G15" s="16">
        <v>2.66274E7</v>
      </c>
    </row>
    <row r="16" ht="14.25" customHeight="1">
      <c r="A16" s="13" t="s">
        <v>551</v>
      </c>
      <c r="B16" s="13" t="s">
        <v>552</v>
      </c>
      <c r="C16" s="13" t="s">
        <v>44</v>
      </c>
      <c r="D16" s="13" t="s">
        <v>554</v>
      </c>
      <c r="E16" s="13" t="s">
        <v>556</v>
      </c>
      <c r="F16" s="16">
        <v>7092360.000000001</v>
      </c>
      <c r="G16" s="16">
        <v>6847200.0</v>
      </c>
    </row>
    <row r="17" ht="14.25" customHeight="1">
      <c r="A17" s="13" t="s">
        <v>559</v>
      </c>
      <c r="B17" s="13" t="s">
        <v>560</v>
      </c>
      <c r="C17" s="13" t="s">
        <v>44</v>
      </c>
      <c r="D17" s="13" t="s">
        <v>562</v>
      </c>
      <c r="E17" s="13" t="s">
        <v>564</v>
      </c>
      <c r="F17" s="16">
        <v>2.799468E7</v>
      </c>
      <c r="G17" s="16">
        <v>2.702376E7</v>
      </c>
    </row>
    <row r="18" ht="14.25" customHeight="1">
      <c r="A18" s="13" t="s">
        <v>567</v>
      </c>
      <c r="B18" s="13" t="s">
        <v>568</v>
      </c>
      <c r="C18" s="13" t="s">
        <v>44</v>
      </c>
      <c r="D18" s="13" t="s">
        <v>571</v>
      </c>
      <c r="E18" s="13" t="s">
        <v>572</v>
      </c>
      <c r="F18" s="16">
        <v>2.9824200000000004E7</v>
      </c>
      <c r="G18" s="16">
        <v>2.8789560000000004E7</v>
      </c>
    </row>
    <row r="19" ht="14.25" customHeight="1">
      <c r="A19" s="13" t="s">
        <v>575</v>
      </c>
      <c r="B19" s="13" t="s">
        <v>576</v>
      </c>
      <c r="C19" s="13" t="s">
        <v>44</v>
      </c>
      <c r="D19" s="13" t="s">
        <v>578</v>
      </c>
      <c r="E19" s="13" t="s">
        <v>580</v>
      </c>
      <c r="F19" s="16">
        <v>3.598344E7</v>
      </c>
      <c r="G19" s="16">
        <v>3.473388E7</v>
      </c>
    </row>
    <row r="20" ht="14.25" customHeight="1">
      <c r="A20" s="13" t="s">
        <v>583</v>
      </c>
      <c r="B20" s="13" t="s">
        <v>584</v>
      </c>
      <c r="C20" s="13" t="s">
        <v>44</v>
      </c>
      <c r="D20" s="13" t="s">
        <v>587</v>
      </c>
      <c r="E20" s="13" t="s">
        <v>588</v>
      </c>
      <c r="F20" s="16">
        <v>3.781188E7</v>
      </c>
      <c r="G20" s="16">
        <v>3.649968E7</v>
      </c>
    </row>
    <row r="21" ht="14.25" customHeight="1">
      <c r="A21" s="13" t="s">
        <v>590</v>
      </c>
      <c r="B21" s="13" t="s">
        <v>591</v>
      </c>
      <c r="C21" s="13" t="s">
        <v>44</v>
      </c>
      <c r="D21" s="13" t="s">
        <v>165</v>
      </c>
      <c r="E21" s="13" t="s">
        <v>592</v>
      </c>
      <c r="F21" s="16">
        <v>1.164672E7</v>
      </c>
      <c r="G21" s="16">
        <v>1.12428E7</v>
      </c>
    </row>
    <row r="22" ht="14.25" customHeight="1">
      <c r="A22" s="13" t="s">
        <v>593</v>
      </c>
      <c r="B22" s="13" t="s">
        <v>594</v>
      </c>
      <c r="C22" s="13" t="s">
        <v>44</v>
      </c>
      <c r="D22" s="13" t="s">
        <v>595</v>
      </c>
      <c r="E22" s="13" t="s">
        <v>596</v>
      </c>
      <c r="F22" s="16">
        <v>5.438448E7</v>
      </c>
      <c r="G22" s="16">
        <v>5.249772E7</v>
      </c>
    </row>
    <row r="23" ht="14.25" customHeight="1">
      <c r="A23" s="13" t="s">
        <v>597</v>
      </c>
      <c r="B23" s="13" t="s">
        <v>598</v>
      </c>
      <c r="C23" s="13" t="s">
        <v>44</v>
      </c>
      <c r="D23" s="13" t="s">
        <v>599</v>
      </c>
      <c r="E23" s="13" t="s">
        <v>600</v>
      </c>
      <c r="F23" s="16">
        <v>5.696028000000001E7</v>
      </c>
      <c r="G23" s="16">
        <v>5.498388E7</v>
      </c>
    </row>
    <row r="24" ht="14.25" customHeight="1">
      <c r="A24" s="13" t="s">
        <v>601</v>
      </c>
      <c r="B24" s="13" t="s">
        <v>602</v>
      </c>
      <c r="C24" s="13" t="s">
        <v>44</v>
      </c>
      <c r="D24" s="13" t="s">
        <v>603</v>
      </c>
      <c r="E24" s="13" t="s">
        <v>604</v>
      </c>
      <c r="F24" s="16">
        <v>5.893776000000001E7</v>
      </c>
      <c r="G24" s="16">
        <v>5.689332000000001E7</v>
      </c>
    </row>
    <row r="25" ht="14.25" customHeight="1">
      <c r="A25" s="13" t="s">
        <v>605</v>
      </c>
      <c r="B25" s="13" t="s">
        <v>606</v>
      </c>
      <c r="C25" s="13" t="s">
        <v>44</v>
      </c>
      <c r="D25" s="13" t="s">
        <v>607</v>
      </c>
      <c r="E25" s="13" t="s">
        <v>608</v>
      </c>
      <c r="F25" s="16">
        <v>2.038068E7</v>
      </c>
      <c r="G25" s="16">
        <v>1.967436E7</v>
      </c>
    </row>
    <row r="26" ht="14.25" customHeight="1">
      <c r="A26" s="13" t="s">
        <v>609</v>
      </c>
      <c r="B26" s="13" t="s">
        <v>610</v>
      </c>
      <c r="C26" s="13" t="s">
        <v>44</v>
      </c>
      <c r="D26" s="13" t="s">
        <v>611</v>
      </c>
      <c r="E26" s="13" t="s">
        <v>612</v>
      </c>
      <c r="F26" s="16">
        <v>6.748596E7</v>
      </c>
      <c r="G26" s="16">
        <v>6.514452000000001E7</v>
      </c>
    </row>
    <row r="27" ht="14.25" customHeight="1"/>
    <row r="28" ht="14.25" customHeight="1">
      <c r="A28" s="41" t="s">
        <v>613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8:G2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56.29"/>
    <col customWidth="1" min="3" max="3" width="21.43"/>
    <col customWidth="1" min="4" max="4" width="16.57"/>
    <col customWidth="1" min="5" max="5" width="18.29"/>
    <col customWidth="1" min="6" max="6" width="13.43"/>
    <col customWidth="1" min="7" max="7" width="14.71"/>
    <col customWidth="1" min="8" max="26" width="8.71"/>
  </cols>
  <sheetData>
    <row r="1" ht="14.25" customHeight="1">
      <c r="A1" s="2" t="s">
        <v>1</v>
      </c>
      <c r="B1" s="2" t="s">
        <v>3</v>
      </c>
      <c r="C1" s="2" t="s">
        <v>2</v>
      </c>
      <c r="D1" s="2" t="s">
        <v>16</v>
      </c>
      <c r="E1" s="2" t="s">
        <v>17</v>
      </c>
      <c r="F1" s="2" t="s">
        <v>18</v>
      </c>
      <c r="G1" s="2" t="s">
        <v>19</v>
      </c>
    </row>
    <row r="2" ht="14.25" customHeight="1">
      <c r="A2" s="38" t="s">
        <v>22</v>
      </c>
      <c r="B2" s="8"/>
      <c r="C2" s="8"/>
      <c r="D2" s="8"/>
      <c r="E2" s="8"/>
      <c r="F2" s="8"/>
      <c r="G2" s="11"/>
    </row>
    <row r="3" ht="14.25" customHeight="1">
      <c r="A3" s="13" t="s">
        <v>477</v>
      </c>
      <c r="B3" s="13" t="s">
        <v>478</v>
      </c>
      <c r="C3" s="13" t="s">
        <v>44</v>
      </c>
      <c r="D3" s="13" t="s">
        <v>481</v>
      </c>
      <c r="E3" s="13" t="s">
        <v>482</v>
      </c>
      <c r="F3" s="16">
        <v>2.385936E7</v>
      </c>
      <c r="G3" s="16">
        <v>2.32632E7</v>
      </c>
    </row>
    <row r="4" ht="14.25" customHeight="1">
      <c r="A4" s="13" t="s">
        <v>486</v>
      </c>
      <c r="B4" s="13" t="s">
        <v>489</v>
      </c>
      <c r="C4" s="13" t="s">
        <v>44</v>
      </c>
      <c r="D4" s="13" t="s">
        <v>491</v>
      </c>
      <c r="E4" s="13" t="s">
        <v>492</v>
      </c>
      <c r="F4" s="16">
        <v>2727000.0</v>
      </c>
      <c r="G4" s="16">
        <v>2658960.0</v>
      </c>
    </row>
    <row r="5" ht="14.25" customHeight="1">
      <c r="A5" s="13" t="s">
        <v>495</v>
      </c>
      <c r="B5" s="13" t="s">
        <v>497</v>
      </c>
      <c r="C5" s="13" t="s">
        <v>44</v>
      </c>
      <c r="D5" s="13" t="s">
        <v>499</v>
      </c>
      <c r="E5" s="13" t="s">
        <v>500</v>
      </c>
      <c r="F5" s="16">
        <v>4091040.0000000005</v>
      </c>
      <c r="G5" s="16">
        <v>3988440.0000000005</v>
      </c>
    </row>
    <row r="6" ht="14.25" customHeight="1">
      <c r="A6" s="13" t="s">
        <v>503</v>
      </c>
      <c r="B6" s="13" t="s">
        <v>505</v>
      </c>
      <c r="C6" s="13" t="s">
        <v>44</v>
      </c>
      <c r="D6" s="13" t="s">
        <v>507</v>
      </c>
      <c r="E6" s="13" t="s">
        <v>508</v>
      </c>
      <c r="F6" s="16">
        <v>2.484E7</v>
      </c>
      <c r="G6" s="16">
        <v>2.484E7</v>
      </c>
    </row>
    <row r="7" ht="14.25" customHeight="1">
      <c r="A7" s="13" t="s">
        <v>511</v>
      </c>
      <c r="B7" s="13" t="s">
        <v>513</v>
      </c>
      <c r="C7" s="13" t="s">
        <v>44</v>
      </c>
      <c r="D7" s="13" t="s">
        <v>515</v>
      </c>
      <c r="E7" s="13" t="s">
        <v>516</v>
      </c>
      <c r="F7" s="16">
        <v>3408480.0</v>
      </c>
      <c r="G7" s="16">
        <v>3324240.0</v>
      </c>
    </row>
    <row r="8" ht="14.25" customHeight="1">
      <c r="A8" s="13" t="s">
        <v>519</v>
      </c>
      <c r="B8" s="13" t="s">
        <v>521</v>
      </c>
      <c r="C8" s="13" t="s">
        <v>44</v>
      </c>
      <c r="D8" s="13" t="s">
        <v>523</v>
      </c>
      <c r="E8" s="13" t="s">
        <v>524</v>
      </c>
      <c r="F8" s="16">
        <v>2386800.0</v>
      </c>
      <c r="G8" s="16">
        <v>2327400.0</v>
      </c>
    </row>
    <row r="9" ht="14.25" customHeight="1">
      <c r="A9" s="6" t="s">
        <v>529</v>
      </c>
      <c r="B9" s="8"/>
      <c r="C9" s="8"/>
      <c r="D9" s="8"/>
      <c r="E9" s="8"/>
      <c r="F9" s="8"/>
      <c r="G9" s="11"/>
    </row>
    <row r="10" ht="14.25" customHeight="1">
      <c r="A10" s="13" t="s">
        <v>536</v>
      </c>
      <c r="B10" s="13" t="s">
        <v>538</v>
      </c>
      <c r="C10" s="13" t="s">
        <v>540</v>
      </c>
      <c r="D10" s="13" t="s">
        <v>541</v>
      </c>
      <c r="E10" s="13" t="s">
        <v>542</v>
      </c>
      <c r="F10" s="16">
        <v>3.885516E7</v>
      </c>
      <c r="G10" s="16">
        <v>3.788532E7</v>
      </c>
    </row>
    <row r="11" ht="14.25" customHeight="1">
      <c r="A11" s="13" t="s">
        <v>545</v>
      </c>
      <c r="B11" s="13" t="s">
        <v>547</v>
      </c>
      <c r="C11" s="13" t="s">
        <v>540</v>
      </c>
      <c r="D11" s="13" t="s">
        <v>549</v>
      </c>
      <c r="E11" s="13" t="s">
        <v>550</v>
      </c>
      <c r="F11" s="16">
        <v>4.32864E7</v>
      </c>
      <c r="G11" s="16">
        <v>4.220532E7</v>
      </c>
    </row>
    <row r="12" ht="14.25" customHeight="1">
      <c r="A12" s="13" t="s">
        <v>553</v>
      </c>
      <c r="B12" s="13" t="s">
        <v>555</v>
      </c>
      <c r="C12" s="13" t="s">
        <v>44</v>
      </c>
      <c r="D12" s="13" t="s">
        <v>557</v>
      </c>
      <c r="E12" s="13" t="s">
        <v>558</v>
      </c>
      <c r="F12" s="16">
        <v>5.623776E7</v>
      </c>
      <c r="G12" s="16">
        <v>5.483376E7</v>
      </c>
    </row>
    <row r="13" ht="14.25" customHeight="1">
      <c r="A13" s="13" t="s">
        <v>561</v>
      </c>
      <c r="B13" s="13" t="s">
        <v>563</v>
      </c>
      <c r="C13" s="13" t="s">
        <v>44</v>
      </c>
      <c r="D13" s="13" t="s">
        <v>565</v>
      </c>
      <c r="E13" s="13" t="s">
        <v>566</v>
      </c>
      <c r="F13" s="16">
        <v>6.135048000000001E7</v>
      </c>
      <c r="G13" s="16">
        <v>5.981796000000001E7</v>
      </c>
    </row>
    <row r="14" ht="14.25" customHeight="1">
      <c r="A14" s="13" t="s">
        <v>569</v>
      </c>
      <c r="B14" s="13" t="s">
        <v>570</v>
      </c>
      <c r="C14" s="13" t="s">
        <v>44</v>
      </c>
      <c r="D14" s="13" t="s">
        <v>573</v>
      </c>
      <c r="E14" s="13" t="s">
        <v>574</v>
      </c>
      <c r="F14" s="16">
        <v>6.475896000000001E7</v>
      </c>
      <c r="G14" s="16">
        <v>6.314112000000001E7</v>
      </c>
    </row>
    <row r="15" ht="14.25" customHeight="1">
      <c r="A15" s="13" t="s">
        <v>577</v>
      </c>
      <c r="B15" s="13" t="s">
        <v>579</v>
      </c>
      <c r="C15" s="13" t="s">
        <v>44</v>
      </c>
      <c r="D15" s="13" t="s">
        <v>581</v>
      </c>
      <c r="E15" s="13" t="s">
        <v>582</v>
      </c>
      <c r="F15" s="16">
        <v>2.079216E7</v>
      </c>
      <c r="G15" s="16">
        <v>2.027268E7</v>
      </c>
    </row>
    <row r="16" ht="14.25" customHeight="1">
      <c r="A16" s="13" t="s">
        <v>585</v>
      </c>
      <c r="B16" s="13" t="s">
        <v>586</v>
      </c>
      <c r="C16" s="13" t="s">
        <v>44</v>
      </c>
      <c r="D16" s="13" t="s">
        <v>589</v>
      </c>
      <c r="E16" s="13" t="s">
        <v>113</v>
      </c>
      <c r="F16" s="16">
        <v>2.317788E7</v>
      </c>
      <c r="G16" s="16">
        <v>2.2599E7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G2"/>
    <mergeCell ref="A9:G9"/>
  </mergeCells>
  <printOptions/>
  <pageMargins bottom="0.75" footer="0.0" header="0.0" left="0.7" right="0.7" top="0.75"/>
  <pageSetup orientation="landscape"/>
  <drawing r:id="rId1"/>
</worksheet>
</file>